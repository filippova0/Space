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BD22CDB8-BC44-4E2D-8405-FC4269116F4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Ведомость объёмов работ" sheetId="6" r:id="rId1"/>
    <sheet name="Локальная смета " sheetId="1" r:id="rId2"/>
    <sheet name="Объектная смета" sheetId="2" r:id="rId3"/>
    <sheet name="Сводный сметный расчет" sheetId="4" r:id="rId4"/>
    <sheet name="Ресурсная ведомость трудозатрат" sheetId="5" r:id="rId5"/>
    <sheet name="Расчёт состава бригад" sheetId="7" r:id="rId6"/>
    <sheet name="Фонд оплаты труда" sheetId="9" r:id="rId7"/>
    <sheet name="Прибыль и затраты" sheetId="8" r:id="rId8"/>
    <sheet name="ТЭП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C20" i="7" l="1"/>
  <c r="D4" i="7"/>
  <c r="C4" i="7"/>
  <c r="C5" i="7" s="1"/>
  <c r="G3" i="7"/>
  <c r="F5" i="7"/>
  <c r="E5" i="7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54" i="5"/>
  <c r="G5" i="7" l="1"/>
  <c r="D5" i="7"/>
  <c r="B9" i="7" l="1"/>
  <c r="C16" i="7"/>
  <c r="C15" i="7"/>
  <c r="C14" i="7"/>
  <c r="H7" i="5" l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K126" i="1" l="1"/>
  <c r="P126" i="1" s="1"/>
  <c r="R126" i="1" s="1"/>
  <c r="K113" i="1"/>
  <c r="P113" i="1" s="1"/>
  <c r="R113" i="1" s="1"/>
  <c r="K112" i="1"/>
  <c r="P112" i="1" s="1"/>
  <c r="R112" i="1" s="1"/>
  <c r="K111" i="1"/>
  <c r="P111" i="1" s="1"/>
  <c r="R111" i="1" s="1"/>
  <c r="K110" i="1"/>
  <c r="P110" i="1" s="1"/>
  <c r="R110" i="1" s="1"/>
  <c r="F46" i="6" l="1"/>
  <c r="D46" i="6"/>
  <c r="D45" i="6"/>
  <c r="F45" i="6"/>
  <c r="F44" i="6"/>
  <c r="D44" i="6"/>
  <c r="F43" i="6"/>
  <c r="D43" i="6"/>
  <c r="F42" i="6"/>
  <c r="D42" i="6"/>
  <c r="F41" i="6"/>
  <c r="D41" i="6"/>
  <c r="F40" i="6"/>
  <c r="D40" i="6"/>
  <c r="F23" i="6"/>
  <c r="F22" i="6"/>
  <c r="D23" i="6"/>
  <c r="D22" i="6"/>
  <c r="F20" i="6"/>
  <c r="D20" i="6"/>
  <c r="F19" i="6"/>
  <c r="D19" i="6"/>
  <c r="F18" i="6"/>
  <c r="D18" i="6"/>
  <c r="F17" i="6"/>
  <c r="D17" i="6"/>
  <c r="F15" i="6"/>
  <c r="D15" i="6"/>
  <c r="F14" i="6"/>
  <c r="D14" i="6"/>
  <c r="E15" i="6"/>
  <c r="F12" i="6"/>
  <c r="D12" i="6"/>
  <c r="F11" i="6"/>
  <c r="D11" i="6"/>
  <c r="F10" i="6"/>
  <c r="D10" i="6"/>
  <c r="G28" i="4" l="1"/>
  <c r="G26" i="4"/>
  <c r="G27" i="4"/>
  <c r="G36" i="2"/>
  <c r="P642" i="1" l="1"/>
  <c r="R642" i="1" s="1"/>
  <c r="M631" i="1"/>
  <c r="P634" i="1" s="1"/>
  <c r="R634" i="1" s="1"/>
  <c r="M636" i="1" l="1"/>
  <c r="M637" i="1"/>
  <c r="P632" i="1"/>
  <c r="P633" i="1"/>
  <c r="R633" i="1" s="1"/>
  <c r="P635" i="1"/>
  <c r="R635" i="1" s="1"/>
  <c r="F95" i="5"/>
  <c r="D10" i="9" s="1"/>
  <c r="H95" i="5"/>
  <c r="D9" i="9" s="1"/>
  <c r="F52" i="5"/>
  <c r="D5" i="9" s="1"/>
  <c r="H52" i="5"/>
  <c r="F79" i="4"/>
  <c r="E79" i="4"/>
  <c r="D79" i="4"/>
  <c r="F73" i="4"/>
  <c r="E73" i="4"/>
  <c r="D73" i="4"/>
  <c r="F70" i="4"/>
  <c r="E70" i="4"/>
  <c r="D70" i="4"/>
  <c r="G58" i="4"/>
  <c r="G54" i="4"/>
  <c r="G55" i="4" s="1"/>
  <c r="G35" i="4"/>
  <c r="G44" i="4" s="1"/>
  <c r="G45" i="4" s="1"/>
  <c r="H28" i="4"/>
  <c r="H27" i="4"/>
  <c r="H26" i="4"/>
  <c r="G38" i="2"/>
  <c r="G35" i="2"/>
  <c r="G37" i="2" s="1"/>
  <c r="G39" i="2" s="1"/>
  <c r="G40" i="2" s="1"/>
  <c r="H48" i="2" s="1"/>
  <c r="M617" i="1"/>
  <c r="P621" i="1" s="1"/>
  <c r="R621" i="1" s="1"/>
  <c r="M605" i="1"/>
  <c r="M591" i="1"/>
  <c r="P594" i="1" s="1"/>
  <c r="R594" i="1" s="1"/>
  <c r="M579" i="1"/>
  <c r="M585" i="1" s="1"/>
  <c r="M565" i="1"/>
  <c r="P567" i="1" s="1"/>
  <c r="R567" i="1" s="1"/>
  <c r="M553" i="1"/>
  <c r="P554" i="1" s="1"/>
  <c r="M539" i="1"/>
  <c r="P543" i="1" s="1"/>
  <c r="R543" i="1" s="1"/>
  <c r="M527" i="1"/>
  <c r="M533" i="1" s="1"/>
  <c r="M515" i="1"/>
  <c r="P516" i="1" s="1"/>
  <c r="M501" i="1"/>
  <c r="M507" i="1" s="1"/>
  <c r="M489" i="1"/>
  <c r="M495" i="1" s="1"/>
  <c r="M477" i="1"/>
  <c r="M483" i="1" s="1"/>
  <c r="M465" i="1"/>
  <c r="M471" i="1" s="1"/>
  <c r="P460" i="1"/>
  <c r="R460" i="1" s="1"/>
  <c r="M449" i="1"/>
  <c r="P447" i="1"/>
  <c r="R447" i="1" s="1"/>
  <c r="M436" i="1"/>
  <c r="M441" i="1" s="1"/>
  <c r="M422" i="1"/>
  <c r="P423" i="1" s="1"/>
  <c r="M410" i="1"/>
  <c r="P414" i="1" s="1"/>
  <c r="R414" i="1" s="1"/>
  <c r="M398" i="1"/>
  <c r="P396" i="1"/>
  <c r="R396" i="1" s="1"/>
  <c r="M385" i="1"/>
  <c r="P386" i="1" s="1"/>
  <c r="M373" i="1"/>
  <c r="P375" i="1" s="1"/>
  <c r="R375" i="1" s="1"/>
  <c r="M361" i="1"/>
  <c r="P362" i="1" s="1"/>
  <c r="R362" i="1" s="1"/>
  <c r="M349" i="1"/>
  <c r="P353" i="1" s="1"/>
  <c r="R353" i="1" s="1"/>
  <c r="M335" i="1"/>
  <c r="P336" i="1" s="1"/>
  <c r="M321" i="1"/>
  <c r="K319" i="1"/>
  <c r="P319" i="1" s="1"/>
  <c r="R319" i="1" s="1"/>
  <c r="M308" i="1"/>
  <c r="K306" i="1"/>
  <c r="P306" i="1" s="1"/>
  <c r="R306" i="1" s="1"/>
  <c r="M295" i="1"/>
  <c r="P299" i="1" s="1"/>
  <c r="R299" i="1" s="1"/>
  <c r="K293" i="1"/>
  <c r="P293" i="1" s="1"/>
  <c r="R293" i="1" s="1"/>
  <c r="K292" i="1"/>
  <c r="P292" i="1" s="1"/>
  <c r="R292" i="1" s="1"/>
  <c r="K291" i="1"/>
  <c r="P291" i="1" s="1"/>
  <c r="R291" i="1" s="1"/>
  <c r="K290" i="1"/>
  <c r="P290" i="1" s="1"/>
  <c r="R290" i="1" s="1"/>
  <c r="K289" i="1"/>
  <c r="P289" i="1" s="1"/>
  <c r="R289" i="1" s="1"/>
  <c r="M278" i="1"/>
  <c r="P282" i="1" s="1"/>
  <c r="R282" i="1" s="1"/>
  <c r="M266" i="1"/>
  <c r="M271" i="1" s="1"/>
  <c r="M254" i="1"/>
  <c r="M239" i="1"/>
  <c r="P240" i="1" s="1"/>
  <c r="M227" i="1"/>
  <c r="P228" i="1" s="1"/>
  <c r="M215" i="1"/>
  <c r="M203" i="1"/>
  <c r="P207" i="1" s="1"/>
  <c r="R207" i="1" s="1"/>
  <c r="M189" i="1"/>
  <c r="P192" i="1" s="1"/>
  <c r="R192" i="1" s="1"/>
  <c r="M177" i="1"/>
  <c r="P181" i="1" s="1"/>
  <c r="R181" i="1" s="1"/>
  <c r="M165" i="1"/>
  <c r="P166" i="1" s="1"/>
  <c r="M153" i="1"/>
  <c r="P157" i="1" s="1"/>
  <c r="R157" i="1" s="1"/>
  <c r="M141" i="1"/>
  <c r="P142" i="1" s="1"/>
  <c r="M129" i="1"/>
  <c r="P130" i="1" s="1"/>
  <c r="R130" i="1" s="1"/>
  <c r="K127" i="1"/>
  <c r="P127" i="1" s="1"/>
  <c r="R127" i="1" s="1"/>
  <c r="M115" i="1"/>
  <c r="P118" i="1" s="1"/>
  <c r="R118" i="1" s="1"/>
  <c r="M99" i="1"/>
  <c r="P103" i="1" s="1"/>
  <c r="R103" i="1" s="1"/>
  <c r="K97" i="1"/>
  <c r="P97" i="1" s="1"/>
  <c r="R97" i="1" s="1"/>
  <c r="K96" i="1"/>
  <c r="P96" i="1" s="1"/>
  <c r="R96" i="1" s="1"/>
  <c r="M85" i="1"/>
  <c r="P87" i="1" s="1"/>
  <c r="R87" i="1" s="1"/>
  <c r="K83" i="1"/>
  <c r="P83" i="1" s="1"/>
  <c r="R83" i="1" s="1"/>
  <c r="K82" i="1"/>
  <c r="P82" i="1" s="1"/>
  <c r="R82" i="1" s="1"/>
  <c r="K81" i="1"/>
  <c r="P81" i="1" s="1"/>
  <c r="R81" i="1" s="1"/>
  <c r="M70" i="1"/>
  <c r="P74" i="1" s="1"/>
  <c r="R74" i="1" s="1"/>
  <c r="M58" i="1"/>
  <c r="M64" i="1" s="1"/>
  <c r="M44" i="1"/>
  <c r="M50" i="1" s="1"/>
  <c r="M32" i="1"/>
  <c r="M20" i="1"/>
  <c r="F47" i="6"/>
  <c r="D4" i="9" l="1"/>
  <c r="D6" i="9" s="1"/>
  <c r="D7" i="9" s="1"/>
  <c r="D8" i="9" s="1"/>
  <c r="B27" i="7"/>
  <c r="B30" i="7" s="1"/>
  <c r="D11" i="9"/>
  <c r="D12" i="9" s="1"/>
  <c r="D13" i="9" s="1"/>
  <c r="M26" i="1"/>
  <c r="P21" i="1"/>
  <c r="M38" i="1"/>
  <c r="M37" i="1"/>
  <c r="G47" i="4"/>
  <c r="G48" i="4" s="1"/>
  <c r="G50" i="4"/>
  <c r="G51" i="4" s="1"/>
  <c r="H96" i="5"/>
  <c r="G36" i="4"/>
  <c r="G38" i="4"/>
  <c r="G39" i="4" s="1"/>
  <c r="G41" i="4"/>
  <c r="G42" i="4" s="1"/>
  <c r="F96" i="5"/>
  <c r="P639" i="1"/>
  <c r="R632" i="1"/>
  <c r="P638" i="1"/>
  <c r="P89" i="1"/>
  <c r="R89" i="1" s="1"/>
  <c r="M90" i="1"/>
  <c r="M91" i="1"/>
  <c r="M159" i="1"/>
  <c r="M158" i="1"/>
  <c r="M75" i="1"/>
  <c r="M76" i="1"/>
  <c r="P350" i="1"/>
  <c r="R350" i="1" s="1"/>
  <c r="M135" i="1"/>
  <c r="P425" i="1"/>
  <c r="P297" i="1"/>
  <c r="R297" i="1" s="1"/>
  <c r="P426" i="1"/>
  <c r="R426" i="1" s="1"/>
  <c r="P34" i="1"/>
  <c r="R34" i="1" s="1"/>
  <c r="P35" i="1"/>
  <c r="R35" i="1" s="1"/>
  <c r="P154" i="1"/>
  <c r="R154" i="1" s="1"/>
  <c r="M300" i="1"/>
  <c r="M428" i="1"/>
  <c r="P72" i="1"/>
  <c r="R72" i="1" s="1"/>
  <c r="P132" i="1"/>
  <c r="R132" i="1" s="1"/>
  <c r="R137" i="1" s="1"/>
  <c r="R138" i="1" s="1"/>
  <c r="M182" i="1"/>
  <c r="P133" i="1"/>
  <c r="R133" i="1" s="1"/>
  <c r="M183" i="1"/>
  <c r="M134" i="1"/>
  <c r="P424" i="1"/>
  <c r="R424" i="1" s="1"/>
  <c r="P351" i="1"/>
  <c r="R351" i="1" s="1"/>
  <c r="P352" i="1"/>
  <c r="R352" i="1" s="1"/>
  <c r="P298" i="1"/>
  <c r="R298" i="1" s="1"/>
  <c r="M427" i="1"/>
  <c r="P36" i="1"/>
  <c r="R36" i="1" s="1"/>
  <c r="P88" i="1"/>
  <c r="R88" i="1" s="1"/>
  <c r="P155" i="1"/>
  <c r="R155" i="1" s="1"/>
  <c r="M301" i="1"/>
  <c r="M367" i="1"/>
  <c r="P131" i="1"/>
  <c r="R131" i="1" s="1"/>
  <c r="P116" i="1"/>
  <c r="P101" i="1"/>
  <c r="R101" i="1" s="1"/>
  <c r="P242" i="1"/>
  <c r="R242" i="1" s="1"/>
  <c r="P469" i="1"/>
  <c r="R469" i="1" s="1"/>
  <c r="P557" i="1"/>
  <c r="R557" i="1" s="1"/>
  <c r="M49" i="1"/>
  <c r="M120" i="1"/>
  <c r="P243" i="1"/>
  <c r="R243" i="1" s="1"/>
  <c r="M104" i="1"/>
  <c r="P568" i="1"/>
  <c r="R568" i="1" s="1"/>
  <c r="M545" i="1"/>
  <c r="P117" i="1"/>
  <c r="R117" i="1" s="1"/>
  <c r="P502" i="1"/>
  <c r="R502" i="1" s="1"/>
  <c r="P580" i="1"/>
  <c r="P241" i="1"/>
  <c r="R241" i="1" s="1"/>
  <c r="P468" i="1"/>
  <c r="R468" i="1" s="1"/>
  <c r="P503" i="1"/>
  <c r="R503" i="1" s="1"/>
  <c r="P119" i="1"/>
  <c r="R119" i="1" s="1"/>
  <c r="M272" i="1"/>
  <c r="M379" i="1"/>
  <c r="P504" i="1"/>
  <c r="R504" i="1" s="1"/>
  <c r="P582" i="1"/>
  <c r="R582" i="1" s="1"/>
  <c r="P102" i="1"/>
  <c r="R102" i="1" s="1"/>
  <c r="M470" i="1"/>
  <c r="M121" i="1"/>
  <c r="P193" i="1"/>
  <c r="R193" i="1" s="1"/>
  <c r="P583" i="1"/>
  <c r="R583" i="1" s="1"/>
  <c r="M25" i="1"/>
  <c r="P144" i="1"/>
  <c r="R144" i="1" s="1"/>
  <c r="M195" i="1"/>
  <c r="P363" i="1"/>
  <c r="R363" i="1" s="1"/>
  <c r="P439" i="1"/>
  <c r="R439" i="1" s="1"/>
  <c r="P86" i="1"/>
  <c r="M105" i="1"/>
  <c r="P145" i="1"/>
  <c r="R145" i="1" s="1"/>
  <c r="P280" i="1"/>
  <c r="R280" i="1" s="1"/>
  <c r="M506" i="1"/>
  <c r="M147" i="1"/>
  <c r="P180" i="1"/>
  <c r="R180" i="1" s="1"/>
  <c r="P204" i="1"/>
  <c r="M245" i="1"/>
  <c r="P365" i="1"/>
  <c r="R365" i="1" s="1"/>
  <c r="P440" i="1"/>
  <c r="R440" i="1" s="1"/>
  <c r="M482" i="1"/>
  <c r="M544" i="1"/>
  <c r="P267" i="1"/>
  <c r="R267" i="1" s="1"/>
  <c r="P100" i="1"/>
  <c r="R100" i="1" s="1"/>
  <c r="P270" i="1"/>
  <c r="R270" i="1" s="1"/>
  <c r="P377" i="1"/>
  <c r="R377" i="1" s="1"/>
  <c r="M378" i="1"/>
  <c r="P581" i="1"/>
  <c r="R581" i="1" s="1"/>
  <c r="P178" i="1"/>
  <c r="P279" i="1"/>
  <c r="R279" i="1" s="1"/>
  <c r="P505" i="1"/>
  <c r="R505" i="1" s="1"/>
  <c r="M584" i="1"/>
  <c r="P179" i="1"/>
  <c r="R179" i="1" s="1"/>
  <c r="M244" i="1"/>
  <c r="P364" i="1"/>
  <c r="R364" i="1" s="1"/>
  <c r="R369" i="1" s="1"/>
  <c r="P479" i="1"/>
  <c r="R479" i="1" s="1"/>
  <c r="P33" i="1"/>
  <c r="P71" i="1"/>
  <c r="R71" i="1" s="1"/>
  <c r="P296" i="1"/>
  <c r="R296" i="1" s="1"/>
  <c r="M366" i="1"/>
  <c r="P540" i="1"/>
  <c r="R540" i="1" s="1"/>
  <c r="P541" i="1"/>
  <c r="R541" i="1" s="1"/>
  <c r="P517" i="1"/>
  <c r="R517" i="1" s="1"/>
  <c r="P518" i="1"/>
  <c r="R518" i="1" s="1"/>
  <c r="P519" i="1"/>
  <c r="R519" i="1" s="1"/>
  <c r="M520" i="1"/>
  <c r="M521" i="1"/>
  <c r="R336" i="1"/>
  <c r="R554" i="1"/>
  <c r="P255" i="1"/>
  <c r="P256" i="1"/>
  <c r="R256" i="1" s="1"/>
  <c r="M259" i="1"/>
  <c r="M260" i="1"/>
  <c r="P258" i="1"/>
  <c r="R258" i="1" s="1"/>
  <c r="P257" i="1"/>
  <c r="R257" i="1" s="1"/>
  <c r="P607" i="1"/>
  <c r="R607" i="1" s="1"/>
  <c r="M610" i="1"/>
  <c r="M611" i="1"/>
  <c r="P606" i="1"/>
  <c r="P609" i="1"/>
  <c r="R609" i="1" s="1"/>
  <c r="P608" i="1"/>
  <c r="R608" i="1" s="1"/>
  <c r="R166" i="1"/>
  <c r="P312" i="1"/>
  <c r="R312" i="1" s="1"/>
  <c r="P311" i="1"/>
  <c r="R311" i="1" s="1"/>
  <c r="P310" i="1"/>
  <c r="R310" i="1" s="1"/>
  <c r="M313" i="1"/>
  <c r="P309" i="1"/>
  <c r="M314" i="1"/>
  <c r="P451" i="1"/>
  <c r="R451" i="1" s="1"/>
  <c r="M454" i="1"/>
  <c r="P453" i="1"/>
  <c r="R453" i="1" s="1"/>
  <c r="M455" i="1"/>
  <c r="P452" i="1"/>
  <c r="R452" i="1" s="1"/>
  <c r="P450" i="1"/>
  <c r="R386" i="1"/>
  <c r="R228" i="1"/>
  <c r="P402" i="1"/>
  <c r="R402" i="1" s="1"/>
  <c r="P399" i="1"/>
  <c r="M404" i="1"/>
  <c r="M403" i="1"/>
  <c r="P401" i="1"/>
  <c r="R401" i="1" s="1"/>
  <c r="M171" i="1"/>
  <c r="M170" i="1"/>
  <c r="P167" i="1"/>
  <c r="R167" i="1" s="1"/>
  <c r="P168" i="1"/>
  <c r="R168" i="1" s="1"/>
  <c r="P169" i="1"/>
  <c r="R169" i="1" s="1"/>
  <c r="M233" i="1"/>
  <c r="M232" i="1"/>
  <c r="P230" i="1"/>
  <c r="R230" i="1" s="1"/>
  <c r="P229" i="1"/>
  <c r="R229" i="1" s="1"/>
  <c r="P231" i="1"/>
  <c r="R231" i="1" s="1"/>
  <c r="M340" i="1"/>
  <c r="P339" i="1"/>
  <c r="R339" i="1" s="1"/>
  <c r="P338" i="1"/>
  <c r="R338" i="1" s="1"/>
  <c r="P337" i="1"/>
  <c r="R337" i="1" s="1"/>
  <c r="M341" i="1"/>
  <c r="P400" i="1"/>
  <c r="R400" i="1" s="1"/>
  <c r="P60" i="1"/>
  <c r="R60" i="1" s="1"/>
  <c r="M63" i="1"/>
  <c r="P59" i="1"/>
  <c r="P411" i="1"/>
  <c r="P24" i="1"/>
  <c r="R24" i="1" s="1"/>
  <c r="P22" i="1"/>
  <c r="R22" i="1" s="1"/>
  <c r="P219" i="1"/>
  <c r="R219" i="1" s="1"/>
  <c r="P216" i="1"/>
  <c r="M221" i="1"/>
  <c r="M220" i="1"/>
  <c r="P218" i="1"/>
  <c r="R218" i="1" s="1"/>
  <c r="P23" i="1"/>
  <c r="R23" i="1" s="1"/>
  <c r="R142" i="1"/>
  <c r="P325" i="1"/>
  <c r="R325" i="1" s="1"/>
  <c r="P323" i="1"/>
  <c r="R323" i="1" s="1"/>
  <c r="P324" i="1"/>
  <c r="R324" i="1" s="1"/>
  <c r="M327" i="1"/>
  <c r="M326" i="1"/>
  <c r="P389" i="1"/>
  <c r="R389" i="1" s="1"/>
  <c r="P388" i="1"/>
  <c r="R388" i="1" s="1"/>
  <c r="M391" i="1"/>
  <c r="M390" i="1"/>
  <c r="P387" i="1"/>
  <c r="R387" i="1" s="1"/>
  <c r="P61" i="1"/>
  <c r="R61" i="1" s="1"/>
  <c r="P46" i="1"/>
  <c r="R46" i="1" s="1"/>
  <c r="P45" i="1"/>
  <c r="P48" i="1"/>
  <c r="R48" i="1" s="1"/>
  <c r="P47" i="1"/>
  <c r="R47" i="1" s="1"/>
  <c r="P62" i="1"/>
  <c r="R62" i="1" s="1"/>
  <c r="P217" i="1"/>
  <c r="R217" i="1" s="1"/>
  <c r="P322" i="1"/>
  <c r="M416" i="1"/>
  <c r="M415" i="1"/>
  <c r="P413" i="1"/>
  <c r="R413" i="1" s="1"/>
  <c r="P412" i="1"/>
  <c r="R412" i="1" s="1"/>
  <c r="P593" i="1"/>
  <c r="R593" i="1" s="1"/>
  <c r="P592" i="1"/>
  <c r="P595" i="1"/>
  <c r="R595" i="1" s="1"/>
  <c r="M597" i="1"/>
  <c r="P206" i="1"/>
  <c r="R206" i="1" s="1"/>
  <c r="P205" i="1"/>
  <c r="R205" i="1" s="1"/>
  <c r="M209" i="1"/>
  <c r="M208" i="1"/>
  <c r="P438" i="1"/>
  <c r="R438" i="1" s="1"/>
  <c r="P437" i="1"/>
  <c r="M442" i="1"/>
  <c r="P556" i="1"/>
  <c r="R556" i="1" s="1"/>
  <c r="P555" i="1"/>
  <c r="R555" i="1" s="1"/>
  <c r="M559" i="1"/>
  <c r="M558" i="1"/>
  <c r="M596" i="1"/>
  <c r="M494" i="1"/>
  <c r="P493" i="1"/>
  <c r="R493" i="1" s="1"/>
  <c r="P491" i="1"/>
  <c r="R491" i="1" s="1"/>
  <c r="P529" i="1"/>
  <c r="R529" i="1" s="1"/>
  <c r="M532" i="1"/>
  <c r="P480" i="1"/>
  <c r="R480" i="1" s="1"/>
  <c r="P481" i="1"/>
  <c r="R481" i="1" s="1"/>
  <c r="P530" i="1"/>
  <c r="R530" i="1" s="1"/>
  <c r="M623" i="1"/>
  <c r="M622" i="1"/>
  <c r="P619" i="1"/>
  <c r="R619" i="1" s="1"/>
  <c r="P620" i="1"/>
  <c r="R620" i="1" s="1"/>
  <c r="R240" i="1"/>
  <c r="P191" i="1"/>
  <c r="R191" i="1" s="1"/>
  <c r="M194" i="1"/>
  <c r="P478" i="1"/>
  <c r="P492" i="1"/>
  <c r="R492" i="1" s="1"/>
  <c r="P531" i="1"/>
  <c r="R531" i="1" s="1"/>
  <c r="P618" i="1"/>
  <c r="P490" i="1"/>
  <c r="P528" i="1"/>
  <c r="P143" i="1"/>
  <c r="M146" i="1"/>
  <c r="P190" i="1"/>
  <c r="P269" i="1"/>
  <c r="R269" i="1" s="1"/>
  <c r="P268" i="1"/>
  <c r="R268" i="1" s="1"/>
  <c r="P569" i="1"/>
  <c r="R569" i="1" s="1"/>
  <c r="P566" i="1"/>
  <c r="P73" i="1"/>
  <c r="R73" i="1" s="1"/>
  <c r="P156" i="1"/>
  <c r="R156" i="1" s="1"/>
  <c r="P281" i="1"/>
  <c r="M570" i="1"/>
  <c r="M283" i="1"/>
  <c r="P374" i="1"/>
  <c r="R423" i="1"/>
  <c r="M571" i="1"/>
  <c r="M284" i="1"/>
  <c r="M355" i="1"/>
  <c r="M354" i="1"/>
  <c r="P376" i="1"/>
  <c r="R376" i="1" s="1"/>
  <c r="P467" i="1"/>
  <c r="R467" i="1" s="1"/>
  <c r="P466" i="1"/>
  <c r="R516" i="1"/>
  <c r="P542" i="1"/>
  <c r="H44" i="2" l="1"/>
  <c r="C4" i="8" s="1"/>
  <c r="O12" i="1"/>
  <c r="O13" i="1"/>
  <c r="R33" i="1"/>
  <c r="P40" i="1"/>
  <c r="P39" i="1"/>
  <c r="P247" i="1"/>
  <c r="P249" i="1" s="1"/>
  <c r="C6" i="8"/>
  <c r="R136" i="1"/>
  <c r="P429" i="1"/>
  <c r="R639" i="1"/>
  <c r="R638" i="1"/>
  <c r="P640" i="1"/>
  <c r="P641" i="1"/>
  <c r="P643" i="1" s="1"/>
  <c r="P644" i="1" s="1"/>
  <c r="R357" i="1"/>
  <c r="R359" i="1" s="1"/>
  <c r="P122" i="1"/>
  <c r="P137" i="1"/>
  <c r="P139" i="1" s="1"/>
  <c r="P92" i="1"/>
  <c r="P430" i="1"/>
  <c r="P432" i="1" s="1"/>
  <c r="P274" i="1"/>
  <c r="P276" i="1" s="1"/>
  <c r="P106" i="1"/>
  <c r="P107" i="1"/>
  <c r="P109" i="1" s="1"/>
  <c r="R425" i="1"/>
  <c r="R430" i="1" s="1"/>
  <c r="P356" i="1"/>
  <c r="P522" i="1"/>
  <c r="R139" i="1"/>
  <c r="R106" i="1"/>
  <c r="R356" i="1"/>
  <c r="P357" i="1"/>
  <c r="P358" i="1" s="1"/>
  <c r="R77" i="1"/>
  <c r="P523" i="1"/>
  <c r="P525" i="1" s="1"/>
  <c r="P509" i="1"/>
  <c r="P511" i="1" s="1"/>
  <c r="P369" i="1"/>
  <c r="P371" i="1" s="1"/>
  <c r="P173" i="1"/>
  <c r="P174" i="1" s="1"/>
  <c r="R368" i="1"/>
  <c r="P211" i="1"/>
  <c r="P213" i="1" s="1"/>
  <c r="P136" i="1"/>
  <c r="P273" i="1"/>
  <c r="P42" i="1"/>
  <c r="P586" i="1"/>
  <c r="R370" i="1"/>
  <c r="R371" i="1"/>
  <c r="P185" i="1"/>
  <c r="R178" i="1"/>
  <c r="P160" i="1"/>
  <c r="P508" i="1"/>
  <c r="R204" i="1"/>
  <c r="R211" i="1" s="1"/>
  <c r="P303" i="1"/>
  <c r="P304" i="1" s="1"/>
  <c r="P343" i="1"/>
  <c r="P345" i="1" s="1"/>
  <c r="R107" i="1"/>
  <c r="P172" i="1"/>
  <c r="P302" i="1"/>
  <c r="P210" i="1"/>
  <c r="P123" i="1"/>
  <c r="R116" i="1"/>
  <c r="R580" i="1"/>
  <c r="R587" i="1" s="1"/>
  <c r="P546" i="1"/>
  <c r="P285" i="1"/>
  <c r="P368" i="1"/>
  <c r="P587" i="1"/>
  <c r="P589" i="1" s="1"/>
  <c r="P184" i="1"/>
  <c r="P149" i="1"/>
  <c r="P150" i="1" s="1"/>
  <c r="P93" i="1"/>
  <c r="R86" i="1"/>
  <c r="P246" i="1"/>
  <c r="R160" i="1"/>
  <c r="R161" i="1"/>
  <c r="R247" i="1"/>
  <c r="R246" i="1"/>
  <c r="R303" i="1"/>
  <c r="R302" i="1"/>
  <c r="P212" i="1"/>
  <c r="R374" i="1"/>
  <c r="P380" i="1"/>
  <c r="P381" i="1"/>
  <c r="P77" i="1"/>
  <c r="R78" i="1"/>
  <c r="P78" i="1"/>
  <c r="R172" i="1"/>
  <c r="R173" i="1"/>
  <c r="P262" i="1"/>
  <c r="R255" i="1"/>
  <c r="P261" i="1"/>
  <c r="R606" i="1"/>
  <c r="P612" i="1"/>
  <c r="P613" i="1"/>
  <c r="R21" i="1"/>
  <c r="P28" i="1"/>
  <c r="P27" i="1"/>
  <c r="P161" i="1"/>
  <c r="P235" i="1"/>
  <c r="R392" i="1"/>
  <c r="R393" i="1"/>
  <c r="P316" i="1"/>
  <c r="P315" i="1"/>
  <c r="R309" i="1"/>
  <c r="P561" i="1"/>
  <c r="R522" i="1"/>
  <c r="R523" i="1"/>
  <c r="R490" i="1"/>
  <c r="P497" i="1"/>
  <c r="P496" i="1"/>
  <c r="R466" i="1"/>
  <c r="P473" i="1"/>
  <c r="P472" i="1"/>
  <c r="P573" i="1"/>
  <c r="P572" i="1"/>
  <c r="R566" i="1"/>
  <c r="R437" i="1"/>
  <c r="P444" i="1"/>
  <c r="P443" i="1"/>
  <c r="R618" i="1"/>
  <c r="P625" i="1"/>
  <c r="P624" i="1"/>
  <c r="R281" i="1"/>
  <c r="P286" i="1"/>
  <c r="P560" i="1"/>
  <c r="R190" i="1"/>
  <c r="P197" i="1"/>
  <c r="P196" i="1"/>
  <c r="P484" i="1"/>
  <c r="P485" i="1"/>
  <c r="R478" i="1"/>
  <c r="R39" i="1"/>
  <c r="R40" i="1"/>
  <c r="R273" i="1"/>
  <c r="R274" i="1"/>
  <c r="R234" i="1"/>
  <c r="R235" i="1"/>
  <c r="P392" i="1"/>
  <c r="R59" i="1"/>
  <c r="P66" i="1"/>
  <c r="P65" i="1"/>
  <c r="R592" i="1"/>
  <c r="P599" i="1"/>
  <c r="P598" i="1"/>
  <c r="P223" i="1"/>
  <c r="P222" i="1"/>
  <c r="R216" i="1"/>
  <c r="P329" i="1"/>
  <c r="P328" i="1"/>
  <c r="R322" i="1"/>
  <c r="P406" i="1"/>
  <c r="P405" i="1"/>
  <c r="R399" i="1"/>
  <c r="P234" i="1"/>
  <c r="P393" i="1"/>
  <c r="R343" i="1"/>
  <c r="R342" i="1"/>
  <c r="R528" i="1"/>
  <c r="P535" i="1"/>
  <c r="P534" i="1"/>
  <c r="R45" i="1"/>
  <c r="P52" i="1"/>
  <c r="P51" i="1"/>
  <c r="R508" i="1"/>
  <c r="R509" i="1"/>
  <c r="R560" i="1"/>
  <c r="R561" i="1"/>
  <c r="R542" i="1"/>
  <c r="P547" i="1"/>
  <c r="R143" i="1"/>
  <c r="H43" i="2" s="1"/>
  <c r="P148" i="1"/>
  <c r="R149" i="1"/>
  <c r="P417" i="1"/>
  <c r="P418" i="1"/>
  <c r="R411" i="1"/>
  <c r="R450" i="1"/>
  <c r="P457" i="1"/>
  <c r="P456" i="1"/>
  <c r="P342" i="1"/>
  <c r="Q11" i="1" l="1"/>
  <c r="P248" i="1"/>
  <c r="P275" i="1"/>
  <c r="D21" i="3"/>
  <c r="D20" i="3" s="1"/>
  <c r="D22" i="3" s="1"/>
  <c r="R140" i="1"/>
  <c r="R358" i="1"/>
  <c r="R360" i="1" s="1"/>
  <c r="R641" i="1"/>
  <c r="R640" i="1"/>
  <c r="P138" i="1"/>
  <c r="P140" i="1" s="1"/>
  <c r="P175" i="1"/>
  <c r="P176" i="1" s="1"/>
  <c r="P108" i="1"/>
  <c r="P114" i="1" s="1"/>
  <c r="R210" i="1"/>
  <c r="P370" i="1"/>
  <c r="P372" i="1" s="1"/>
  <c r="C5" i="8"/>
  <c r="C7" i="8" s="1"/>
  <c r="P431" i="1"/>
  <c r="P433" i="1" s="1"/>
  <c r="P510" i="1"/>
  <c r="P512" i="1" s="1"/>
  <c r="P41" i="1"/>
  <c r="P43" i="1" s="1"/>
  <c r="R429" i="1"/>
  <c r="R372" i="1"/>
  <c r="P359" i="1"/>
  <c r="P360" i="1" s="1"/>
  <c r="P524" i="1"/>
  <c r="P526" i="1" s="1"/>
  <c r="R148" i="1"/>
  <c r="P588" i="1"/>
  <c r="P590" i="1" s="1"/>
  <c r="R122" i="1"/>
  <c r="R123" i="1"/>
  <c r="P151" i="1"/>
  <c r="P152" i="1" s="1"/>
  <c r="P344" i="1"/>
  <c r="P346" i="1" s="1"/>
  <c r="P347" i="1" s="1"/>
  <c r="R185" i="1"/>
  <c r="R184" i="1"/>
  <c r="P305" i="1"/>
  <c r="P307" i="1" s="1"/>
  <c r="R586" i="1"/>
  <c r="P94" i="1"/>
  <c r="P95" i="1"/>
  <c r="R109" i="1"/>
  <c r="R108" i="1"/>
  <c r="P125" i="1"/>
  <c r="P124" i="1"/>
  <c r="P187" i="1"/>
  <c r="P186" i="1"/>
  <c r="R92" i="1"/>
  <c r="R93" i="1"/>
  <c r="R80" i="1"/>
  <c r="R79" i="1"/>
  <c r="R599" i="1"/>
  <c r="R598" i="1"/>
  <c r="P237" i="1"/>
  <c r="P236" i="1"/>
  <c r="P407" i="1"/>
  <c r="P408" i="1"/>
  <c r="R212" i="1"/>
  <c r="R213" i="1"/>
  <c r="P626" i="1"/>
  <c r="P627" i="1"/>
  <c r="P277" i="1"/>
  <c r="P53" i="1"/>
  <c r="P54" i="1"/>
  <c r="P600" i="1"/>
  <c r="P601" i="1"/>
  <c r="R624" i="1"/>
  <c r="R625" i="1"/>
  <c r="R236" i="1"/>
  <c r="R237" i="1"/>
  <c r="P264" i="1"/>
  <c r="P263" i="1"/>
  <c r="P163" i="1"/>
  <c r="P162" i="1"/>
  <c r="P458" i="1"/>
  <c r="P459" i="1"/>
  <c r="R381" i="1"/>
  <c r="R380" i="1"/>
  <c r="R562" i="1"/>
  <c r="R563" i="1"/>
  <c r="P225" i="1"/>
  <c r="P224" i="1"/>
  <c r="P474" i="1"/>
  <c r="P475" i="1"/>
  <c r="P317" i="1"/>
  <c r="P318" i="1"/>
  <c r="R613" i="1"/>
  <c r="R612" i="1"/>
  <c r="R511" i="1"/>
  <c r="R510" i="1"/>
  <c r="R150" i="1"/>
  <c r="R151" i="1"/>
  <c r="R52" i="1"/>
  <c r="R51" i="1"/>
  <c r="R262" i="1"/>
  <c r="R261" i="1"/>
  <c r="P382" i="1"/>
  <c r="P383" i="1"/>
  <c r="R328" i="1"/>
  <c r="R329" i="1"/>
  <c r="R275" i="1"/>
  <c r="R276" i="1"/>
  <c r="R457" i="1"/>
  <c r="R456" i="1"/>
  <c r="R497" i="1"/>
  <c r="R496" i="1"/>
  <c r="P30" i="1"/>
  <c r="P29" i="1"/>
  <c r="R345" i="1"/>
  <c r="R344" i="1"/>
  <c r="R42" i="1"/>
  <c r="R41" i="1"/>
  <c r="R573" i="1"/>
  <c r="R572" i="1"/>
  <c r="R589" i="1"/>
  <c r="R588" i="1"/>
  <c r="R174" i="1"/>
  <c r="R175" i="1"/>
  <c r="P250" i="1"/>
  <c r="P420" i="1"/>
  <c r="P419" i="1"/>
  <c r="P214" i="1"/>
  <c r="R473" i="1"/>
  <c r="R472" i="1"/>
  <c r="R395" i="1"/>
  <c r="R394" i="1"/>
  <c r="R305" i="1"/>
  <c r="R304" i="1"/>
  <c r="P536" i="1"/>
  <c r="P537" i="1"/>
  <c r="R248" i="1"/>
  <c r="R249" i="1"/>
  <c r="R535" i="1"/>
  <c r="R534" i="1"/>
  <c r="P330" i="1"/>
  <c r="P331" i="1"/>
  <c r="P67" i="1"/>
  <c r="P68" i="1"/>
  <c r="P445" i="1"/>
  <c r="P446" i="1"/>
  <c r="P198" i="1"/>
  <c r="P199" i="1"/>
  <c r="R525" i="1"/>
  <c r="R524" i="1"/>
  <c r="R163" i="1"/>
  <c r="R162" i="1"/>
  <c r="R286" i="1"/>
  <c r="R285" i="1"/>
  <c r="P549" i="1"/>
  <c r="P548" i="1"/>
  <c r="R485" i="1"/>
  <c r="R484" i="1"/>
  <c r="P563" i="1"/>
  <c r="P562" i="1"/>
  <c r="P499" i="1"/>
  <c r="P498" i="1"/>
  <c r="R66" i="1"/>
  <c r="R65" i="1"/>
  <c r="P287" i="1"/>
  <c r="P288" i="1"/>
  <c r="R444" i="1"/>
  <c r="R443" i="1"/>
  <c r="R28" i="1"/>
  <c r="O11" i="1" s="1"/>
  <c r="R27" i="1"/>
  <c r="P395" i="1"/>
  <c r="P394" i="1"/>
  <c r="R197" i="1"/>
  <c r="R196" i="1"/>
  <c r="R418" i="1"/>
  <c r="R417" i="1"/>
  <c r="R547" i="1"/>
  <c r="R546" i="1"/>
  <c r="R406" i="1"/>
  <c r="R405" i="1"/>
  <c r="R222" i="1"/>
  <c r="R223" i="1"/>
  <c r="P487" i="1"/>
  <c r="P486" i="1"/>
  <c r="P575" i="1"/>
  <c r="P574" i="1"/>
  <c r="R315" i="1"/>
  <c r="R316" i="1"/>
  <c r="P614" i="1"/>
  <c r="P615" i="1"/>
  <c r="P80" i="1"/>
  <c r="P79" i="1"/>
  <c r="R432" i="1"/>
  <c r="R431" i="1"/>
  <c r="R114" i="1" l="1"/>
  <c r="P128" i="1"/>
  <c r="R238" i="1"/>
  <c r="R643" i="1"/>
  <c r="R644" i="1" s="1"/>
  <c r="P332" i="1"/>
  <c r="P628" i="1"/>
  <c r="P448" i="1"/>
  <c r="R214" i="1"/>
  <c r="P200" i="1"/>
  <c r="P538" i="1"/>
  <c r="P320" i="1"/>
  <c r="P602" i="1"/>
  <c r="P603" i="1" s="1"/>
  <c r="P616" i="1"/>
  <c r="P69" i="1"/>
  <c r="R176" i="1"/>
  <c r="P476" i="1"/>
  <c r="P55" i="1"/>
  <c r="R250" i="1"/>
  <c r="P409" i="1"/>
  <c r="P226" i="1"/>
  <c r="R152" i="1"/>
  <c r="P98" i="1"/>
  <c r="R564" i="1"/>
  <c r="R187" i="1"/>
  <c r="R186" i="1"/>
  <c r="R95" i="1"/>
  <c r="R94" i="1"/>
  <c r="R433" i="1"/>
  <c r="P238" i="1"/>
  <c r="R43" i="1"/>
  <c r="R125" i="1"/>
  <c r="R124" i="1"/>
  <c r="P188" i="1"/>
  <c r="P294" i="1"/>
  <c r="P550" i="1"/>
  <c r="R446" i="1"/>
  <c r="R445" i="1"/>
  <c r="R475" i="1"/>
  <c r="R474" i="1"/>
  <c r="R458" i="1"/>
  <c r="R459" i="1"/>
  <c r="R627" i="1"/>
  <c r="R626" i="1"/>
  <c r="R419" i="1"/>
  <c r="R420" i="1"/>
  <c r="R421" i="1" s="1"/>
  <c r="P564" i="1"/>
  <c r="R277" i="1"/>
  <c r="R54" i="1"/>
  <c r="R53" i="1"/>
  <c r="R499" i="1"/>
  <c r="R498" i="1"/>
  <c r="R397" i="1"/>
  <c r="R346" i="1"/>
  <c r="R347" i="1" s="1"/>
  <c r="P265" i="1"/>
  <c r="P576" i="1"/>
  <c r="P488" i="1"/>
  <c r="R487" i="1"/>
  <c r="R486" i="1"/>
  <c r="P421" i="1"/>
  <c r="R601" i="1"/>
  <c r="R600" i="1"/>
  <c r="R331" i="1"/>
  <c r="R330" i="1"/>
  <c r="R512" i="1"/>
  <c r="R84" i="1"/>
  <c r="R288" i="1"/>
  <c r="R287" i="1"/>
  <c r="R575" i="1"/>
  <c r="R574" i="1"/>
  <c r="P164" i="1"/>
  <c r="R67" i="1"/>
  <c r="R68" i="1"/>
  <c r="R198" i="1"/>
  <c r="R199" i="1"/>
  <c r="R164" i="1"/>
  <c r="P84" i="1"/>
  <c r="P397" i="1"/>
  <c r="R526" i="1"/>
  <c r="R225" i="1"/>
  <c r="R224" i="1"/>
  <c r="P500" i="1"/>
  <c r="R307" i="1"/>
  <c r="P31" i="1"/>
  <c r="R382" i="1"/>
  <c r="R383" i="1"/>
  <c r="R408" i="1"/>
  <c r="R407" i="1"/>
  <c r="R536" i="1"/>
  <c r="R537" i="1"/>
  <c r="R549" i="1"/>
  <c r="R548" i="1"/>
  <c r="R264" i="1"/>
  <c r="R263" i="1"/>
  <c r="R318" i="1"/>
  <c r="R317" i="1"/>
  <c r="R29" i="1"/>
  <c r="H45" i="2" s="1"/>
  <c r="H42" i="2"/>
  <c r="R30" i="1"/>
  <c r="H46" i="2" s="1"/>
  <c r="R590" i="1"/>
  <c r="P384" i="1"/>
  <c r="R614" i="1"/>
  <c r="R615" i="1"/>
  <c r="R616" i="1" s="1"/>
  <c r="P461" i="1"/>
  <c r="R128" i="1" l="1"/>
  <c r="P462" i="1"/>
  <c r="P201" i="1"/>
  <c r="P629" i="1"/>
  <c r="D15" i="3"/>
  <c r="C8" i="8"/>
  <c r="P434" i="1"/>
  <c r="P513" i="1"/>
  <c r="R384" i="1"/>
  <c r="P551" i="1"/>
  <c r="P56" i="1"/>
  <c r="R461" i="1"/>
  <c r="P577" i="1"/>
  <c r="R188" i="1"/>
  <c r="P251" i="1"/>
  <c r="R332" i="1"/>
  <c r="R69" i="1"/>
  <c r="R628" i="1"/>
  <c r="R629" i="1" s="1"/>
  <c r="R576" i="1"/>
  <c r="R577" i="1" s="1"/>
  <c r="R500" i="1"/>
  <c r="R226" i="1"/>
  <c r="R251" i="1" s="1"/>
  <c r="R98" i="1"/>
  <c r="R476" i="1"/>
  <c r="R513" i="1" s="1"/>
  <c r="R448" i="1"/>
  <c r="R462" i="1" s="1"/>
  <c r="R200" i="1"/>
  <c r="P333" i="1"/>
  <c r="R294" i="1"/>
  <c r="R409" i="1"/>
  <c r="R55" i="1"/>
  <c r="R488" i="1"/>
  <c r="R320" i="1"/>
  <c r="R265" i="1"/>
  <c r="R550" i="1"/>
  <c r="R602" i="1"/>
  <c r="R603" i="1" s="1"/>
  <c r="R31" i="1"/>
  <c r="R538" i="1"/>
  <c r="R551" i="1" s="1"/>
  <c r="R201" i="1" l="1"/>
  <c r="P645" i="1"/>
  <c r="P646" i="1" s="1"/>
  <c r="P647" i="1" s="1"/>
  <c r="H10" i="1" s="1"/>
  <c r="H12" i="1" s="1"/>
  <c r="R434" i="1"/>
  <c r="R333" i="1"/>
  <c r="R56" i="1"/>
  <c r="C13" i="8"/>
  <c r="D18" i="3"/>
  <c r="C9" i="8"/>
  <c r="C10" i="8" l="1"/>
  <c r="C11" i="8" s="1"/>
  <c r="C12" i="8" s="1"/>
  <c r="R645" i="1"/>
  <c r="D26" i="2" s="1"/>
  <c r="E27" i="2" s="1"/>
  <c r="D16" i="3"/>
  <c r="C14" i="8"/>
  <c r="R646" i="1" l="1"/>
  <c r="R647" i="1" s="1"/>
  <c r="F10" i="1" s="1"/>
  <c r="F12" i="1" s="1"/>
  <c r="D12" i="3" s="1"/>
  <c r="D17" i="3" s="1"/>
  <c r="F32" i="2"/>
  <c r="F31" i="2"/>
  <c r="D23" i="3"/>
  <c r="D14" i="3"/>
  <c r="D13" i="3"/>
  <c r="H26" i="2"/>
  <c r="H32" i="2"/>
  <c r="E30" i="2"/>
  <c r="D33" i="2"/>
  <c r="D36" i="2" s="1"/>
  <c r="E29" i="2"/>
  <c r="E28" i="2"/>
  <c r="H28" i="2" s="1"/>
  <c r="D35" i="4" l="1"/>
  <c r="D58" i="4"/>
  <c r="D65" i="4" s="1"/>
  <c r="D38" i="2"/>
  <c r="D34" i="2"/>
  <c r="D54" i="4" s="1"/>
  <c r="D55" i="4" s="1"/>
  <c r="F33" i="2"/>
  <c r="F36" i="2" s="1"/>
  <c r="H31" i="2"/>
  <c r="H27" i="2"/>
  <c r="E33" i="2"/>
  <c r="E36" i="2" s="1"/>
  <c r="H33" i="2" l="1"/>
  <c r="H36" i="2" s="1"/>
  <c r="H58" i="4" s="1"/>
  <c r="H34" i="2"/>
  <c r="H54" i="4" s="1"/>
  <c r="H55" i="4" s="1"/>
  <c r="E58" i="4"/>
  <c r="E65" i="4" s="1"/>
  <c r="E34" i="2"/>
  <c r="E54" i="4" s="1"/>
  <c r="E55" i="4" s="1"/>
  <c r="E38" i="2"/>
  <c r="F58" i="4"/>
  <c r="F65" i="4" s="1"/>
  <c r="F38" i="2"/>
  <c r="F35" i="4"/>
  <c r="F34" i="2"/>
  <c r="F54" i="4" s="1"/>
  <c r="F55" i="4" s="1"/>
  <c r="D35" i="2"/>
  <c r="D37" i="2" s="1"/>
  <c r="D39" i="2" s="1"/>
  <c r="D40" i="2" s="1"/>
  <c r="D44" i="4"/>
  <c r="G31" i="4"/>
  <c r="H31" i="4" s="1"/>
  <c r="D50" i="4"/>
  <c r="D47" i="4"/>
  <c r="G29" i="4"/>
  <c r="D38" i="4"/>
  <c r="D36" i="4"/>
  <c r="G32" i="4"/>
  <c r="H32" i="4" s="1"/>
  <c r="G30" i="4"/>
  <c r="H30" i="4" s="1"/>
  <c r="D41" i="4"/>
  <c r="H38" i="2" l="1"/>
  <c r="H35" i="2"/>
  <c r="H37" i="2" s="1"/>
  <c r="H39" i="2" s="1"/>
  <c r="H40" i="2" s="1"/>
  <c r="D9" i="2" s="1"/>
  <c r="D16" i="2" s="1"/>
  <c r="F35" i="2"/>
  <c r="F37" i="2" s="1"/>
  <c r="F39" i="2" s="1"/>
  <c r="F40" i="2" s="1"/>
  <c r="H47" i="2" s="1"/>
  <c r="D42" i="4"/>
  <c r="F38" i="4"/>
  <c r="F39" i="4" s="1"/>
  <c r="F47" i="4"/>
  <c r="F48" i="4" s="1"/>
  <c r="F44" i="4"/>
  <c r="F45" i="4" s="1"/>
  <c r="F41" i="4"/>
  <c r="F42" i="4" s="1"/>
  <c r="F50" i="4"/>
  <c r="F51" i="4" s="1"/>
  <c r="F36" i="4"/>
  <c r="G33" i="4"/>
  <c r="G52" i="4" s="1"/>
  <c r="G56" i="4" s="1"/>
  <c r="H29" i="4"/>
  <c r="H33" i="4" s="1"/>
  <c r="D39" i="4"/>
  <c r="D51" i="4"/>
  <c r="D48" i="4"/>
  <c r="E35" i="2"/>
  <c r="D45" i="4"/>
  <c r="F52" i="4" l="1"/>
  <c r="F56" i="4" s="1"/>
  <c r="F66" i="4" s="1"/>
  <c r="F80" i="4" s="1"/>
  <c r="F81" i="4" s="1"/>
  <c r="F82" i="4" s="1"/>
  <c r="F83" i="4" s="1"/>
  <c r="D52" i="4"/>
  <c r="D56" i="4" s="1"/>
  <c r="D66" i="4" s="1"/>
  <c r="E35" i="4"/>
  <c r="H35" i="4" s="1"/>
  <c r="H36" i="4" s="1"/>
  <c r="G76" i="4" s="1"/>
  <c r="E37" i="2"/>
  <c r="E39" i="2" s="1"/>
  <c r="E40" i="2" s="1"/>
  <c r="G59" i="4" l="1"/>
  <c r="G72" i="4"/>
  <c r="G75" i="4"/>
  <c r="H75" i="4" s="1"/>
  <c r="G63" i="4"/>
  <c r="H63" i="4" s="1"/>
  <c r="G78" i="4"/>
  <c r="H78" i="4" s="1"/>
  <c r="G61" i="4"/>
  <c r="H61" i="4" s="1"/>
  <c r="H76" i="4"/>
  <c r="G62" i="4"/>
  <c r="H62" i="4" s="1"/>
  <c r="G60" i="4"/>
  <c r="H60" i="4" s="1"/>
  <c r="E38" i="4"/>
  <c r="E36" i="4"/>
  <c r="E44" i="4"/>
  <c r="E50" i="4"/>
  <c r="E41" i="4"/>
  <c r="E47" i="4"/>
  <c r="G68" i="4"/>
  <c r="D80" i="4"/>
  <c r="D81" i="4" s="1"/>
  <c r="D82" i="4" s="1"/>
  <c r="D83" i="4" s="1"/>
  <c r="G73" i="4" l="1"/>
  <c r="H73" i="4" s="1"/>
  <c r="H72" i="4"/>
  <c r="E39" i="4"/>
  <c r="H38" i="4"/>
  <c r="H39" i="4" s="1"/>
  <c r="E48" i="4"/>
  <c r="H47" i="4"/>
  <c r="H48" i="4" s="1"/>
  <c r="E42" i="4"/>
  <c r="H42" i="4" s="1"/>
  <c r="H41" i="4"/>
  <c r="E51" i="4"/>
  <c r="H50" i="4"/>
  <c r="H51" i="4" s="1"/>
  <c r="E45" i="4"/>
  <c r="H44" i="4"/>
  <c r="H45" i="4" s="1"/>
  <c r="H59" i="4"/>
  <c r="H68" i="4"/>
  <c r="E52" i="4" l="1"/>
  <c r="E56" i="4" s="1"/>
  <c r="E66" i="4" s="1"/>
  <c r="H52" i="4"/>
  <c r="H56" i="4" s="1"/>
  <c r="G64" i="4" l="1"/>
  <c r="H64" i="4" s="1"/>
  <c r="H65" i="4" s="1"/>
  <c r="E80" i="4"/>
  <c r="E81" i="4" s="1"/>
  <c r="E82" i="4" s="1"/>
  <c r="E83" i="4" s="1"/>
  <c r="G65" i="4" l="1"/>
  <c r="G66" i="4" s="1"/>
  <c r="G69" i="4" s="1"/>
  <c r="H69" i="4" s="1"/>
  <c r="H70" i="4" s="1"/>
  <c r="G70" i="4" l="1"/>
  <c r="H66" i="4"/>
  <c r="G77" i="4" s="1"/>
  <c r="H77" i="4" s="1"/>
  <c r="H79" i="4" s="1"/>
  <c r="H80" i="4" l="1"/>
  <c r="H81" i="4" s="1"/>
  <c r="H82" i="4" s="1"/>
  <c r="H83" i="4" s="1"/>
  <c r="D8" i="4" s="1"/>
  <c r="G79" i="4"/>
  <c r="D11" i="3" l="1"/>
  <c r="G80" i="4"/>
  <c r="G81" i="4" s="1"/>
  <c r="G82" i="4" s="1"/>
  <c r="G83" i="4" s="1"/>
</calcChain>
</file>

<file path=xl/sharedStrings.xml><?xml version="1.0" encoding="utf-8"?>
<sst xmlns="http://schemas.openxmlformats.org/spreadsheetml/2006/main" count="1865" uniqueCount="670">
  <si>
    <t>(наименование объекта капитального строительства)</t>
  </si>
  <si>
    <t>(наименование конструктивного решения)</t>
  </si>
  <si>
    <t>Составлен</t>
  </si>
  <si>
    <t>базисно-индексным</t>
  </si>
  <si>
    <t>методом</t>
  </si>
  <si>
    <t>Основание</t>
  </si>
  <si>
    <t>Составлен в текущем (базисном) уровне цен</t>
  </si>
  <si>
    <t>Январь 2001г.</t>
  </si>
  <si>
    <t>Сметная стоимость</t>
  </si>
  <si>
    <t>тыс. руб.</t>
  </si>
  <si>
    <t>Январь 2001 г.</t>
  </si>
  <si>
    <t>в том числе:</t>
  </si>
  <si>
    <t>Средства на оплату труда рабочих</t>
  </si>
  <si>
    <t>строительных работ</t>
  </si>
  <si>
    <t>Затраты труда рабочих</t>
  </si>
  <si>
    <t>монтажных работ</t>
  </si>
  <si>
    <t>Затраты труда машинистов</t>
  </si>
  <si>
    <t>№ п.п.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</si>
  <si>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</si>
  <si>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</si>
  <si>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</si>
  <si>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</si>
  <si>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базисном уровне цен (в текущем уровне цен (гр. 8) для ресурсов отсутствующих в СНБ), руб.</t>
  </si>
  <si>
    <t>Индексы</t>
  </si>
  <si>
    <t>Сметная стоимость в текущем уровне на цен, руб.</t>
  </si>
  <si>
    <t>на единицу</t>
  </si>
  <si>
    <t>коэффициенты</t>
  </si>
  <si>
    <t>всего с учетом коэффициентов</t>
  </si>
  <si>
    <t>всего</t>
  </si>
  <si>
    <t>Работы нулевого цикла</t>
  </si>
  <si>
    <t>А. Земляные работы</t>
  </si>
  <si>
    <t>1000 м3</t>
  </si>
  <si>
    <t>ОТ (оплата труда рабочих)</t>
  </si>
  <si>
    <t>ЭМ (эксплуатация машин)</t>
  </si>
  <si>
    <t>в т.ч. Отм (оплата труда машинистов)</t>
  </si>
  <si>
    <t>М (материалы)</t>
  </si>
  <si>
    <t>ЗТ (затраты труда рабочих)</t>
  </si>
  <si>
    <t>ЗТ (затраты труда машинистов)</t>
  </si>
  <si>
    <t>Итого по расценке</t>
  </si>
  <si>
    <t>ФОТ (фонд оплаты труда)</t>
  </si>
  <si>
    <t>Приказ Минстроя России N°812</t>
  </si>
  <si>
    <t>НР (Накладные расходы от ФОТ)</t>
  </si>
  <si>
    <t>%</t>
  </si>
  <si>
    <t>Приказ Минстроя России N°774</t>
  </si>
  <si>
    <t>СП (Сметная прибыль от ФОТ)</t>
  </si>
  <si>
    <t>Всего по позиции</t>
  </si>
  <si>
    <t>ФЕР 01-01-030-02</t>
  </si>
  <si>
    <t>ФЕР 01-01-014-02</t>
  </si>
  <si>
    <t>Б.Устройство фундаментов и конструкций подвала</t>
  </si>
  <si>
    <t xml:space="preserve">ФЕР 08-01-002-01
</t>
  </si>
  <si>
    <t>1 м3</t>
  </si>
  <si>
    <t xml:space="preserve">ФЕР 07-01-001-02
</t>
  </si>
  <si>
    <t>100 шт.</t>
  </si>
  <si>
    <t>м3</t>
  </si>
  <si>
    <t xml:space="preserve">Разработка грунта с перемещением до 10 м бульдозерами мощностью: 59 кВт (80 л.с.), группа грунтов 2
</t>
  </si>
  <si>
    <t xml:space="preserve">Разработка грунта с погрузкой на автомобили-самосвалы экскаваторами с ковшом вместимостью: 0,4 (0,35-0,45) м3, группа грунтов 2
</t>
  </si>
  <si>
    <t xml:space="preserve">Устройство основания под фундаменты: песчаного
</t>
  </si>
  <si>
    <t>Итого по разделу А:</t>
  </si>
  <si>
    <t xml:space="preserve">Укладка блоков и плит ленточных фундаментов при глубине котлована до 4 м, масса конструкций: до 1,5 т.  
</t>
  </si>
  <si>
    <t xml:space="preserve">Укладка блоков и плит ленточных фундаментов при глубине котлована до 4 м, масса конструкций: до 3,5 т 
</t>
  </si>
  <si>
    <t xml:space="preserve">ФЕР 07-01-001-03
</t>
  </si>
  <si>
    <t>7</t>
  </si>
  <si>
    <t>8</t>
  </si>
  <si>
    <t>6.1</t>
  </si>
  <si>
    <t>100 м3</t>
  </si>
  <si>
    <t>5</t>
  </si>
  <si>
    <t>9</t>
  </si>
  <si>
    <t xml:space="preserve">Устройство подстилающих слоев: песчаных
</t>
  </si>
  <si>
    <t xml:space="preserve">ФЕР 11-01-002-01
</t>
  </si>
  <si>
    <t>10</t>
  </si>
  <si>
    <t xml:space="preserve">ФЕР 11-01-002-09
</t>
  </si>
  <si>
    <t xml:space="preserve">Устройство подстилающих слоев: бетонных
</t>
  </si>
  <si>
    <t>11</t>
  </si>
  <si>
    <t>12</t>
  </si>
  <si>
    <t xml:space="preserve">Устройство гидроизоляции оклеечной рулонными материалами: на мастике Битуминоль, первый слой
</t>
  </si>
  <si>
    <t xml:space="preserve">ФЕР 11-01-004-01
</t>
  </si>
  <si>
    <t>100 м2</t>
  </si>
  <si>
    <t>13</t>
  </si>
  <si>
    <t>Итого по разделу Б:</t>
  </si>
  <si>
    <t>В.Гидроизоляция конструкций подвала и обратная засыпка</t>
  </si>
  <si>
    <t>16</t>
  </si>
  <si>
    <t xml:space="preserve">Гидроизоляция боковая обмазочная битумная в 2 слоя по выровненной поверхности бутовой кладки, кирпичу, бетону
</t>
  </si>
  <si>
    <t xml:space="preserve">ФЕР 08-01-003-07
</t>
  </si>
  <si>
    <t>17</t>
  </si>
  <si>
    <t>Гидроизоляция стен, фундаментов: горизонтальная оклеечная в 2 слоя</t>
  </si>
  <si>
    <t>18</t>
  </si>
  <si>
    <t xml:space="preserve">ФЕР 08-01-003-03
</t>
  </si>
  <si>
    <t>Засыпка траншей и котлованов с перемещением грунта до 5 м бульдозерами мощностью: 59 кВт (80 л.с.), группа грунтов 2</t>
  </si>
  <si>
    <t>19</t>
  </si>
  <si>
    <t>ФЕР 01-02-005-01</t>
  </si>
  <si>
    <t>Уплотнение грунта пневматическими трамбовками, группа грунтов: 1-2</t>
  </si>
  <si>
    <t>Итого по разделу В:</t>
  </si>
  <si>
    <t>Работы надземного цикла</t>
  </si>
  <si>
    <t>Г.Устройство надземной части здания</t>
  </si>
  <si>
    <t>21</t>
  </si>
  <si>
    <t>Кладка наружных и внутренних кирпичных стен с теплоизоляционными плитами: общей толщиной 510 мм при высоте этажа до 4 м</t>
  </si>
  <si>
    <t>ФЕР 08-02-015-07</t>
  </si>
  <si>
    <t>22</t>
  </si>
  <si>
    <t>ФЕР 08-02-001-07</t>
  </si>
  <si>
    <t>Кладка стен кирпичных внутренних: при высоте этажа до 4 м</t>
  </si>
  <si>
    <t>Укладка перемычек массой до 0,3 т</t>
  </si>
  <si>
    <t>ФЕР 07-05-007-10</t>
  </si>
  <si>
    <t>Установка панелей перекрытий с опиранием: на 2 стороны площадью до 5 м2</t>
  </si>
  <si>
    <t>25</t>
  </si>
  <si>
    <t>Устройство бетонных фундаментов общего назначения объемом: до 5 м3</t>
  </si>
  <si>
    <t>26</t>
  </si>
  <si>
    <t>Устройство: козырьков</t>
  </si>
  <si>
    <t>1 м2</t>
  </si>
  <si>
    <t>100 м</t>
  </si>
  <si>
    <t>Итого по разделу Г:</t>
  </si>
  <si>
    <t xml:space="preserve">Д.Устройство перегородок </t>
  </si>
  <si>
    <t>Установка перегородок из гипсовых плит: в 1 слой при высоте этажа до 4 м</t>
  </si>
  <si>
    <t>ФЕР 08-04-001-01</t>
  </si>
  <si>
    <t>Итого по разделу Д:</t>
  </si>
  <si>
    <t>Е.Устройство кровли</t>
  </si>
  <si>
    <t>31</t>
  </si>
  <si>
    <t>32</t>
  </si>
  <si>
    <t>Установка стропил</t>
  </si>
  <si>
    <t>ФЕР 10-01-002-01</t>
  </si>
  <si>
    <t>33</t>
  </si>
  <si>
    <t>Утепление покрытий плитами: из минеральной ваты или перлита на битумной мастике в один слой</t>
  </si>
  <si>
    <t>ФЕР 12-01-013-03</t>
  </si>
  <si>
    <t>34</t>
  </si>
  <si>
    <t>Устройство пароизоляции: оклеечной в один слой</t>
  </si>
  <si>
    <t>ФЕР 12-01-015-01</t>
  </si>
  <si>
    <t>Итого по разделу Е:</t>
  </si>
  <si>
    <t>Ж.Заполнение проёмов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</si>
  <si>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</t>
  </si>
  <si>
    <t>ФЕР 10-01-034-06</t>
  </si>
  <si>
    <t>Установка блоков из ПВХ в наружных и внутренних дверных проемах: в каменных стенах площадью проема более 3 м2</t>
  </si>
  <si>
    <t>Установка блоков в наружных и внутренних дверных проемах: в каменных стенах, площадь проема до 3 м2</t>
  </si>
  <si>
    <t>ФЕР 10-01-039-01</t>
  </si>
  <si>
    <t>101-9411</t>
  </si>
  <si>
    <t>Итого по разделу Ж:</t>
  </si>
  <si>
    <t>Отделочный цикл</t>
  </si>
  <si>
    <t>компл.</t>
  </si>
  <si>
    <t xml:space="preserve">Скобяные изделия
</t>
  </si>
  <si>
    <t>Устройство гидроизоляции из полиэтиленовой пленки на бутилкаучуковом клее с защитой рубероидом: первый слой</t>
  </si>
  <si>
    <t>ФЕР 11-01-005-01</t>
  </si>
  <si>
    <t>ФЕР 11-01-11-01</t>
  </si>
  <si>
    <t>Устройство стяжек: цементных толщиной 20 мм</t>
  </si>
  <si>
    <t>К.Устройство подготовки под полы</t>
  </si>
  <si>
    <t>Итого по разделу К:</t>
  </si>
  <si>
    <t>Л.Штукатурные работы</t>
  </si>
  <si>
    <t>Штукатурка поверхностей внутри здания известковым раствором улучшенная: по камню и бетону стен</t>
  </si>
  <si>
    <t>Штукатурка поверхностей внутри здания цементно-известковым или цементным раствором по камню и бетону: улучшенная стен</t>
  </si>
  <si>
    <t>ФЕР 15-02-016-03</t>
  </si>
  <si>
    <t>Штукатурка поверхностей внутри здания известковым раствором улучшенная: по камню и бетону потолков</t>
  </si>
  <si>
    <t>М.Малярные работы</t>
  </si>
  <si>
    <t>Итого по разделу Л:</t>
  </si>
  <si>
    <t>Итого по разделу М:</t>
  </si>
  <si>
    <t>Н.Облицовочные работы</t>
  </si>
  <si>
    <t>Итого по разделу Н:</t>
  </si>
  <si>
    <t>О. Устройство чистых полов</t>
  </si>
  <si>
    <t>Устройство покрытий: из паркета штучного без жилок</t>
  </si>
  <si>
    <t xml:space="preserve">ФЕР 11-01-034-03
</t>
  </si>
  <si>
    <t>Устройство плинтусов поливинилхлоридных: на винтах самонарезающих</t>
  </si>
  <si>
    <t xml:space="preserve">ФЕР 11-01-040-03
</t>
  </si>
  <si>
    <t>Итого по разделу О:</t>
  </si>
  <si>
    <t>Малоэтажный жилой дом</t>
  </si>
  <si>
    <t>24</t>
  </si>
  <si>
    <t>(Наименование стройки)</t>
  </si>
  <si>
    <t>(Наименование объекта капитального строительства)</t>
  </si>
  <si>
    <t>(проектная и (или) иная техническая документация)</t>
  </si>
  <si>
    <t>тыс.руб.</t>
  </si>
  <si>
    <t>Расчетный измеритель</t>
  </si>
  <si>
    <t>объекта капитального строительства</t>
  </si>
  <si>
    <t>Показатель единичной стоимости</t>
  </si>
  <si>
    <t>на расчетный измеритель</t>
  </si>
  <si>
    <t>тыс.руб/м³</t>
  </si>
  <si>
    <t>2023 г.</t>
  </si>
  <si>
    <t>№ п/п</t>
  </si>
  <si>
    <t>Наименование локальных сметных расчетов (смет), затрат</t>
  </si>
  <si>
    <t>Сметная стоимость, тыс. руб.</t>
  </si>
  <si>
    <t>Строительных (ремонтно-строительных, ремонтно-реставрационных) работ</t>
  </si>
  <si>
    <t>оборудования, мебели, инвентаря</t>
  </si>
  <si>
    <t>прочих затрат</t>
  </si>
  <si>
    <t>Всего</t>
  </si>
  <si>
    <t>Локальная смета на общестроительные работы</t>
  </si>
  <si>
    <t>ИТОГО:</t>
  </si>
  <si>
    <t>Временные здания и сооружения 1,1%</t>
  </si>
  <si>
    <t>ГСН 81-05-02-2007 табл.4, п.11.2</t>
  </si>
  <si>
    <t>Непредвиденные затраты 2%</t>
  </si>
  <si>
    <t>ВСЕГО</t>
  </si>
  <si>
    <t>в том числе</t>
  </si>
  <si>
    <t>ОТ</t>
  </si>
  <si>
    <t>ЭМ</t>
  </si>
  <si>
    <t>М</t>
  </si>
  <si>
    <t>НР</t>
  </si>
  <si>
    <t>СП</t>
  </si>
  <si>
    <t>оборудование</t>
  </si>
  <si>
    <t>прочие затраты</t>
  </si>
  <si>
    <t>Всего по смете</t>
  </si>
  <si>
    <t>НДС</t>
  </si>
  <si>
    <r>
      <t xml:space="preserve">Составлен </t>
    </r>
    <r>
      <rPr>
        <b/>
        <sz val="12"/>
        <color theme="1"/>
        <rFont val="Times New Roman"/>
        <family val="1"/>
        <charset val="204"/>
      </rPr>
      <t>текущем</t>
    </r>
    <r>
      <rPr>
        <sz val="12"/>
        <color theme="1"/>
        <rFont val="Times New Roman"/>
        <family val="1"/>
        <charset val="204"/>
      </rPr>
      <t xml:space="preserve"> уровне цен </t>
    </r>
  </si>
  <si>
    <t>Технико–экономические показатели проекта</t>
  </si>
  <si>
    <t>Наименование показателей</t>
  </si>
  <si>
    <t>Ед.изм</t>
  </si>
  <si>
    <t>Значение показателей</t>
  </si>
  <si>
    <t>Примечание</t>
  </si>
  <si>
    <t>1. Объемно-планировочные показатели</t>
  </si>
  <si>
    <t>1.1</t>
  </si>
  <si>
    <t>Этажность</t>
  </si>
  <si>
    <t>Эт.</t>
  </si>
  <si>
    <t>По проекту</t>
  </si>
  <si>
    <t>1.2</t>
  </si>
  <si>
    <t>Строительный объем</t>
  </si>
  <si>
    <t>м³</t>
  </si>
  <si>
    <t>1.3</t>
  </si>
  <si>
    <t>Площадь застройки</t>
  </si>
  <si>
    <t>м²</t>
  </si>
  <si>
    <t>1.4</t>
  </si>
  <si>
    <t>Жилая площадь</t>
  </si>
  <si>
    <t>2. Показатели сметной стоимости строительства</t>
  </si>
  <si>
    <t>2.1</t>
  </si>
  <si>
    <t>Сметная стоимость строительства объекта</t>
  </si>
  <si>
    <t>Тыс.р</t>
  </si>
  <si>
    <t>Сводный сметный расчет</t>
  </si>
  <si>
    <t>2.2</t>
  </si>
  <si>
    <t>Сметная стоимость общестроительных работ</t>
  </si>
  <si>
    <t>Тыс.р.</t>
  </si>
  <si>
    <t>Локальная смета</t>
  </si>
  <si>
    <t>2.3</t>
  </si>
  <si>
    <t>Сметная стоимость 1 м³</t>
  </si>
  <si>
    <t>Смет.ст-ть/
Vстр</t>
  </si>
  <si>
    <t>2.4</t>
  </si>
  <si>
    <t>Сметная стоимость 1 м² жилой площади</t>
  </si>
  <si>
    <t>Смет.ст-ть/
Fж</t>
  </si>
  <si>
    <t>2.5</t>
  </si>
  <si>
    <t>Прибыль</t>
  </si>
  <si>
    <t>руб.</t>
  </si>
  <si>
    <t>2.6</t>
  </si>
  <si>
    <t>Уровень рентабельности</t>
  </si>
  <si>
    <t>Приб.*100/Ссеб.</t>
  </si>
  <si>
    <t>2.7</t>
  </si>
  <si>
    <t>Договорная цена</t>
  </si>
  <si>
    <t>Локальная смета * Индекс-дефлятор</t>
  </si>
  <si>
    <t>2.8</t>
  </si>
  <si>
    <t>Себестоимость</t>
  </si>
  <si>
    <t>ПЗ+НР</t>
  </si>
  <si>
    <t>3. Показатели трудовых затрат</t>
  </si>
  <si>
    <t>3.1</t>
  </si>
  <si>
    <t>Трудозатраты по объекту в целом</t>
  </si>
  <si>
    <t>Чел.-дн</t>
  </si>
  <si>
    <t>ЛС</t>
  </si>
  <si>
    <t>3.2</t>
  </si>
  <si>
    <t>Трудозатраты на общестроительные работы</t>
  </si>
  <si>
    <t>3.3</t>
  </si>
  <si>
    <t>Затраты труда на 1 м² общей площади</t>
  </si>
  <si>
    <t>Поз.3.1/поз.1.2</t>
  </si>
  <si>
    <t>3.4</t>
  </si>
  <si>
    <t>Выработка рабочих за смену</t>
  </si>
  <si>
    <t>Руб./ Чел.-дн</t>
  </si>
  <si>
    <t>(Поз.2.2/поз.3.2)*1000</t>
  </si>
  <si>
    <t>4. Показатели технологичности проекта</t>
  </si>
  <si>
    <t>4.1</t>
  </si>
  <si>
    <t>Нормативная продолжительность строительства</t>
  </si>
  <si>
    <t>дн</t>
  </si>
  <si>
    <t>СНиП 1.04.03-85*
Раздел А.</t>
  </si>
  <si>
    <t>4.2</t>
  </si>
  <si>
    <t>Плановая продолжительность строительства*</t>
  </si>
  <si>
    <t>По проекту 
(* не должна превышать нормативную)</t>
  </si>
  <si>
    <t>чел.час</t>
  </si>
  <si>
    <t>маш.час</t>
  </si>
  <si>
    <t>Сантехнические работы 1 стадии 12%</t>
  </si>
  <si>
    <t>Электромонтажные работы 1 стадии 8%</t>
  </si>
  <si>
    <t>Сантехнические работы 2 стадии 10%</t>
  </si>
  <si>
    <t>Электромонтажные работы 2 стадии 5%</t>
  </si>
  <si>
    <t>ГСН 81-05-01-2001</t>
  </si>
  <si>
    <t>Курсовой проект по организации строительного производства</t>
  </si>
  <si>
    <t>Заказчик:</t>
  </si>
  <si>
    <t>АО "ЛенСПЕЦСМУ"</t>
  </si>
  <si>
    <t>(наименование организации)</t>
  </si>
  <si>
    <t>"Утверждён"</t>
  </si>
  <si>
    <t>Сводный сметный расчёт сметной стоимостью</t>
  </si>
  <si>
    <t>ссылка на документ об утверждении</t>
  </si>
  <si>
    <t>(наименование стройки)</t>
  </si>
  <si>
    <t>Составлен в текущем уровне цен</t>
  </si>
  <si>
    <t>Номера сметных расчетов и смет</t>
  </si>
  <si>
    <t>Наименование глав, объектов, работ и затрат</t>
  </si>
  <si>
    <t>Сметная стоимость, тыс.руб.</t>
  </si>
  <si>
    <t>Общая сметная стоимость</t>
  </si>
  <si>
    <t>Глава 1. Подготовка территории строительства.</t>
  </si>
  <si>
    <t>расчет</t>
  </si>
  <si>
    <t>Постановление Правительства РФ от 27.11.1995 N 1176</t>
  </si>
  <si>
    <t>расчёт</t>
  </si>
  <si>
    <t>Затраты, связанные с получением заказчиком и проектной организацией исходных данных, технических условий на проектирование и проведение необходимых соглосований по проектным решениям, а также с выполнением по требованию органов местного самоуправления исполнительной контрольной съемки построенных инженерных сетей (0,05%)</t>
  </si>
  <si>
    <t>Затраты, связанные с оплатой работ, выполняемых коммунальными и эксплуатационными организациями, которыенаходятся на полном хозяйственном расчете (кроме организаций, находящихся на бюджетном проектировании), по выдаче исходных данных на проектирование, технических условий и требований на присоединение проектируемых объектов к инженерным сетям и коммуникациям общего пользования, а также затраты на проведение необходимых согласований проектных решений (0,1%)</t>
  </si>
  <si>
    <t>Затраты на выполнение по требованию органов местного самоуправления контрольной съемки построенных инженерных сетей, а также затраты на выполнение археологических раскопок в пределах строительной площадки (0,1%)</t>
  </si>
  <si>
    <t>Возмещение собственникам земельных участков, землепользователям, землевладельцам и арендотаров земельных участков убытков, которые причинены изъятием или временным занятием, ораничением прав собственников зумельных участков, землепользователей, землевладельцев и арендоторов земельных участков, либо ухудшением качества земель в результате деятельности других лиц (0,01%)</t>
  </si>
  <si>
    <t>Итого по Главе 1</t>
  </si>
  <si>
    <t>Глава 2. Основные объекты строительства.</t>
  </si>
  <si>
    <t>Жилой дом</t>
  </si>
  <si>
    <t>Итого по Главе 2</t>
  </si>
  <si>
    <t>Глава 3. Объекты подсобного и обслуживающего назначения</t>
  </si>
  <si>
    <t>Строительство мусоросборников, проходных, хозяйственный корпус (3%)</t>
  </si>
  <si>
    <t>Итого по Главе 3</t>
  </si>
  <si>
    <t>Глава 4. Объекты энергетического хозяйства</t>
  </si>
  <si>
    <t>Объекты энергетического хозяйства 2,5%</t>
  </si>
  <si>
    <t>Итого по Главе 4</t>
  </si>
  <si>
    <t>Глава 5. Объекты транспортного хозяйства и связи</t>
  </si>
  <si>
    <t>Объекты транспортного хозяйства и связи 5%</t>
  </si>
  <si>
    <t>Итого по Главе 5</t>
  </si>
  <si>
    <t>Глава 6. Наружные сети и сооружения водоснабжения, водоотведения, теплоснабжения и газоснабжения</t>
  </si>
  <si>
    <t>Объекты наружной сети 6%</t>
  </si>
  <si>
    <t>Итого по Главе 6</t>
  </si>
  <si>
    <t>Глава 7. Благоустройство и озеленение</t>
  </si>
  <si>
    <t>Благоустройство и озеленение 8%</t>
  </si>
  <si>
    <t>Итого по Главе 7</t>
  </si>
  <si>
    <t>Итого по главам 1 - 7</t>
  </si>
  <si>
    <t>Глава 8. Временные здания и сооружения.</t>
  </si>
  <si>
    <t>Итого по Главе 8</t>
  </si>
  <si>
    <t>Итого по главам 1 - 8</t>
  </si>
  <si>
    <t>Глава 9. Прочие работы и затраты.</t>
  </si>
  <si>
    <t xml:space="preserve">Приложение N 4. Перечень основных видов прочих работ и затрат, включаемых в сводный сметный расчет стоимости </t>
  </si>
  <si>
    <t>Затраты по перевозке автомобильным транспортом работников строительных и монтажных организаций или компенсация расходов по организации специальных маршрутов городского пассажирского транспорта (2,5%)</t>
  </si>
  <si>
    <t>договор или  расчет</t>
  </si>
  <si>
    <t>Затраты связанные с осуществлением работ вахтовым методом (за исключением вахтовой надбавки к тарифной ставке, учитываемой в локальных сметах (0,1%)</t>
  </si>
  <si>
    <t>Договор (расчет)</t>
  </si>
  <si>
    <t>Затраты на командировочные расходы 6%</t>
  </si>
  <si>
    <t>Договор</t>
  </si>
  <si>
    <t>Затраты, связанные с перебазированием строительно-монтажных организаций с одной стройки на другую (1%)</t>
  </si>
  <si>
    <t>ст. 742 ГК РФ и методики (п. 4 Приложения 2) (графы 7 и 8)</t>
  </si>
  <si>
    <t>Затраты по добровольному страхованию работников и имущества, в том числе строительных рисков (2%)</t>
  </si>
  <si>
    <t>Расчет</t>
  </si>
  <si>
    <t>Затраты, связанные с премированием за ввод в действие построенных обьеков (2%)</t>
  </si>
  <si>
    <t>Итого по Главе 9</t>
  </si>
  <si>
    <t>Итого по главам 1 - 9</t>
  </si>
  <si>
    <t>Глава 10. Содержание службы заказчика. Строительный контроль</t>
  </si>
  <si>
    <t>Приказ Департ.стр-ва и ЖКХ</t>
  </si>
  <si>
    <t>Выполнение функций заказчика - 1,4%х0,7=0,98%</t>
  </si>
  <si>
    <t>Содержание дирекции (технический надзор) строящегося предприятия (сооружения) (0,7%)</t>
  </si>
  <si>
    <t>Итого по Главе 10</t>
  </si>
  <si>
    <t>Глава 11. Подготовка эксплуатационных кадров</t>
  </si>
  <si>
    <t>Расходы на теоретическое и производственное обучение кадров (7%)</t>
  </si>
  <si>
    <t>Итого по Главе 11</t>
  </si>
  <si>
    <t>Глава 12. Проектные и изыскательские работы, авторский надзор</t>
  </si>
  <si>
    <t>МДС 81-15.2000</t>
  </si>
  <si>
    <t>Проектные работы (12%)</t>
  </si>
  <si>
    <t>Изыскательские работы (12%)</t>
  </si>
  <si>
    <t>Письмо Минстроя N 41307-ИФ/09 от 15 октября 2020 г</t>
  </si>
  <si>
    <t>Авторский надзор (0,2%)</t>
  </si>
  <si>
    <t>Экспертиза предпроектной и проектной документации (3%)</t>
  </si>
  <si>
    <t>Итого по Главе 12</t>
  </si>
  <si>
    <t>Итого по разделам 1 - 12</t>
  </si>
  <si>
    <t>ИТОГО</t>
  </si>
  <si>
    <t>НДС 20%</t>
  </si>
  <si>
    <t>ИТОГО ПО РАСЧЕТУ</t>
  </si>
  <si>
    <t>Временные здания и сооружения</t>
  </si>
  <si>
    <t>ноябрь 2023г.</t>
  </si>
  <si>
    <t>Основание:</t>
  </si>
  <si>
    <t>№ п/п по смете</t>
  </si>
  <si>
    <t>Шифр номера нормативов и ресурсов</t>
  </si>
  <si>
    <t>Индекс к заработной плате</t>
  </si>
  <si>
    <t>Ед.изм.</t>
  </si>
  <si>
    <t>Количество трудозатрат</t>
  </si>
  <si>
    <t>Стоимость единицы, руб</t>
  </si>
  <si>
    <t xml:space="preserve">Стоимость общая,
руб
</t>
  </si>
  <si>
    <t>Трудовые ресурсы</t>
  </si>
  <si>
    <t>ИТОГО по зарплате рабочих</t>
  </si>
  <si>
    <t>ИТОГО по зарплате машинистов</t>
  </si>
  <si>
    <t>ИТОГО ФОТ</t>
  </si>
  <si>
    <t>Общая трудоемкость, чел.-ч</t>
  </si>
  <si>
    <t>В т.ч. разряды</t>
  </si>
  <si>
    <t>Рабочие</t>
  </si>
  <si>
    <t>Машинисты</t>
  </si>
  <si>
    <t>Определяем количество рабочих по формуле:</t>
  </si>
  <si>
    <t>n= Тр/(Дк*8)</t>
  </si>
  <si>
    <t>чел.</t>
  </si>
  <si>
    <t>Принимаем бригаду из</t>
  </si>
  <si>
    <t>Тр – общие трудозатраты, чел.*ч</t>
  </si>
  <si>
    <t>Дк – количество дней по календарному плану, дн</t>
  </si>
  <si>
    <t>Определяем состав бригады по разрядам рабочих:</t>
  </si>
  <si>
    <t>Принимаем</t>
  </si>
  <si>
    <t>Расчет правильности выбора состава бригады</t>
  </si>
  <si>
    <r>
      <t xml:space="preserve">Определяем средний разряд </t>
    </r>
    <r>
      <rPr>
        <b/>
        <sz val="12"/>
        <color theme="1"/>
        <rFont val="Times New Roman"/>
        <family val="1"/>
        <charset val="204"/>
      </rPr>
      <t>рабочих:</t>
    </r>
  </si>
  <si>
    <r>
      <t xml:space="preserve">Определяем средний разряд </t>
    </r>
    <r>
      <rPr>
        <b/>
        <sz val="12"/>
        <color theme="1"/>
        <rFont val="Times New Roman"/>
        <family val="1"/>
        <charset val="204"/>
      </rPr>
      <t>работ:</t>
    </r>
  </si>
  <si>
    <t>Средний разряд работ можно определить с помощью средней часовой ставки работ, которая определяется по формуле:</t>
  </si>
  <si>
    <t>Тст.ч = Рсд/Тр;</t>
  </si>
  <si>
    <t>Тст.ч – средняя часовая тарифная ставка;</t>
  </si>
  <si>
    <t>Рсд – сдельная расценка, руб;</t>
  </si>
  <si>
    <t>Тр – общая трудоемкость, чел.*ч;</t>
  </si>
  <si>
    <t>Сравниваем полученные значения со стоимостью 1 чел.*ч рабочих, занятых в строительстве на строительно-монтажных работах с нормальными условиями труда, установленными нормой:</t>
  </si>
  <si>
    <t>руб/ч,</t>
  </si>
  <si>
    <t>Вывод: состав бригады выбран правильно, т.к. средний разряд рабочих соответствует среднему разряду работ (отклонение до 0,1÷0,3).</t>
  </si>
  <si>
    <t>Расчет затрат, прибыли и рентабельности строительства</t>
  </si>
  <si>
    <t>№</t>
  </si>
  <si>
    <t>Значение показателей, руб.</t>
  </si>
  <si>
    <t>Примеч.</t>
  </si>
  <si>
    <t>Материалы</t>
  </si>
  <si>
    <t>Машины и механизмы</t>
  </si>
  <si>
    <t>Фонд оплаты труда</t>
  </si>
  <si>
    <t>Локальная смета (или ресурсная ведомость)</t>
  </si>
  <si>
    <t>ИТОГО прямых затрат:</t>
  </si>
  <si>
    <t>Накладные расходы</t>
  </si>
  <si>
    <t>Себестоимость строительно-монтажных работ</t>
  </si>
  <si>
    <t>Договорная цена без НДС</t>
  </si>
  <si>
    <t>Ссмр* индекс-дефлятор</t>
  </si>
  <si>
    <t>Плановая прибыль</t>
  </si>
  <si>
    <t>Сдог – Ссеб</t>
  </si>
  <si>
    <t>Плановая рентабельность</t>
  </si>
  <si>
    <t>Ппл*100/Ссеб</t>
  </si>
  <si>
    <t>Сметная прибыль</t>
  </si>
  <si>
    <t>Сметная рентабельность</t>
  </si>
  <si>
    <t>СП*100/Сстр</t>
  </si>
  <si>
    <t xml:space="preserve">Плата за землю при изъятии земельного участка для строительства, а так же выплата земельного налога в период строительства </t>
  </si>
  <si>
    <t>6</t>
  </si>
  <si>
    <t>23</t>
  </si>
  <si>
    <t xml:space="preserve">ФЕР 06-01-001-22
</t>
  </si>
  <si>
    <t>ФЕР 06-01-001-22</t>
  </si>
  <si>
    <t>Расчет фонда оплаты труда (ФОТ) и средней заработной платы</t>
  </si>
  <si>
    <t>Сдельная з/пл рабочих (всего)</t>
  </si>
  <si>
    <t>Руб.</t>
  </si>
  <si>
    <t>Ресурсная ведомость</t>
  </si>
  <si>
    <t>Трудоемкость рабочих</t>
  </si>
  <si>
    <t>Чел.-ч</t>
  </si>
  <si>
    <t>Средняя часовая тарифная ставка рабочего</t>
  </si>
  <si>
    <t>П.1/ п.2</t>
  </si>
  <si>
    <t>Среднедневная з/пл рабочего</t>
  </si>
  <si>
    <t>П.3*8ч</t>
  </si>
  <si>
    <t>Среднемесячная з/пл рабочего</t>
  </si>
  <si>
    <t>П.4*22 дня</t>
  </si>
  <si>
    <t>Заработная плата машинистов (всего)</t>
  </si>
  <si>
    <t>Трудоемкость машинистов</t>
  </si>
  <si>
    <t>Средняя часовая тарифная ставка машиниста</t>
  </si>
  <si>
    <t>П.6/ п.7</t>
  </si>
  <si>
    <t>Среднедневная з/пл машиниста</t>
  </si>
  <si>
    <t>П.8*8ч</t>
  </si>
  <si>
    <t>Среднемесячная з/пл машиниста</t>
  </si>
  <si>
    <t>П.9*22 дня</t>
  </si>
  <si>
    <t>Наименование работ и формула подсчета</t>
  </si>
  <si>
    <t>Масса элемента, т</t>
  </si>
  <si>
    <t>Масса общая, т</t>
  </si>
  <si>
    <t>Объем элемента, м3</t>
  </si>
  <si>
    <t>Единица, изм.</t>
  </si>
  <si>
    <t>2 разряд</t>
  </si>
  <si>
    <t>1.5-2,4</t>
  </si>
  <si>
    <t>3 разряд</t>
  </si>
  <si>
    <t>2,5-3,4</t>
  </si>
  <si>
    <t>4 разряд</t>
  </si>
  <si>
    <t>3,5-4,4</t>
  </si>
  <si>
    <t>5 разряд</t>
  </si>
  <si>
    <t>4,5-5,4</t>
  </si>
  <si>
    <t>6 разряд</t>
  </si>
  <si>
    <t>5,5-6,4</t>
  </si>
  <si>
    <t>Разработка грунта с перемещением до 10 м бульдозерами мощностью: 59 кВт (80 л.с.), группа грунтов 2</t>
  </si>
  <si>
    <t>Общий объем, м3</t>
  </si>
  <si>
    <t>Разработка грунта с погрузкой на автомобили-самосвалы экскаваторами с ковшом вместимостью: 0,4 (0,35-0,45) м3, группа грунтов 2</t>
  </si>
  <si>
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</si>
  <si>
    <t>Устройство основания под фундаменты: песчаного</t>
  </si>
  <si>
    <t xml:space="preserve">Укладка блоков и плит ленточных фундаментов при глубине котлована до 4 м, масса конструкций: до 1,5 т.  </t>
  </si>
  <si>
    <t xml:space="preserve">Укладка блоков и плит ленточных фундаментов при глубине котлована до 4 м, масса конструкций: до 3,5 т </t>
  </si>
  <si>
    <t xml:space="preserve">Укладка блоков и плит ленточных фундаментов при глубине котлована до 4 м, масса конструкций: до 3,5 т(ФЛ14.24-1) </t>
  </si>
  <si>
    <t>6.2</t>
  </si>
  <si>
    <t>Устройство ленточных фундаментов: железобетонных при ширине по верху до 1000 мм(монолитные участки)</t>
  </si>
  <si>
    <t>Устройство подстилающих слоев: песчаных</t>
  </si>
  <si>
    <t>Устройство подстилающих слоев: бетонных</t>
  </si>
  <si>
    <t>Устройство гидроизоляции оклеечной рулонными материалами: на мастике Битуминоль, первый слой</t>
  </si>
  <si>
    <t>Гидроизоляция боковая обмазочная битумная в 2 слоя по выровненной поверхности бутовой кладки, кирпичу, бетону</t>
  </si>
  <si>
    <t>Работы нулевого воздуха</t>
  </si>
  <si>
    <t>А.Земляные работы</t>
  </si>
  <si>
    <t>Д.Устройство перегородок</t>
  </si>
  <si>
    <t>К.Устройства подготовки под полы</t>
  </si>
  <si>
    <t>ноябрь</t>
  </si>
  <si>
    <t xml:space="preserve">Разработка грунта вручную в траншеях глубиной до 2 м без креплений с откосами, группа грунтов: 2
</t>
  </si>
  <si>
    <t xml:space="preserve">ФЕР 01-02-057-02
</t>
  </si>
  <si>
    <t xml:space="preserve"> Фундаментные плиты ФЛ16.8-1 (1 шт*0,26 м3)</t>
  </si>
  <si>
    <t xml:space="preserve"> Фундаментные плиты ФЛ14.12-1 (5 шт*0,42 м3)</t>
  </si>
  <si>
    <t xml:space="preserve"> Фундаментные плиты ФЛ14.8-1 (10 шт*0,27 м3)</t>
  </si>
  <si>
    <t>403-1452</t>
  </si>
  <si>
    <t>403-1446</t>
  </si>
  <si>
    <t>403-1443</t>
  </si>
  <si>
    <t xml:space="preserve"> Фундаментные плиты ФЛ16.24-1 (16 шт*0,86 м3)</t>
  </si>
  <si>
    <t xml:space="preserve"> Фундаментные плиты ФЛ14.24-1 (4 шт*0,76м3)</t>
  </si>
  <si>
    <t xml:space="preserve">403-1458
</t>
  </si>
  <si>
    <t>403-1449</t>
  </si>
  <si>
    <t xml:space="preserve"> Фундаментные блоки ФБС12.6.6-Т (6 шт*0,39 м3)</t>
  </si>
  <si>
    <t xml:space="preserve"> Фундаментные блоки ФБС8.6.6-Т (4 шт*0,27 м3)</t>
  </si>
  <si>
    <t>441-1001</t>
  </si>
  <si>
    <t xml:space="preserve"> Фундаментные блоки ФБС12.4.6-Т (12 шт*0,26 м3)</t>
  </si>
  <si>
    <t xml:space="preserve"> Фундаментные блоки ФБС9.4.6-Т (18 шт*0,19 м3)</t>
  </si>
  <si>
    <t xml:space="preserve">Укладка блоков и плит ленточных фундаментов при глубине котлована до 4 м, масса конструкций: до 1,5 т
</t>
  </si>
  <si>
    <t xml:space="preserve"> Фундаментные блоки ФБС24.4.6-Т (26 шт*0,54 м3)</t>
  </si>
  <si>
    <t xml:space="preserve">Укладка блоков и плит ленточных фундаментов при глубине котлована до 4 м, масса конструкций: до 3,5 т
</t>
  </si>
  <si>
    <t xml:space="preserve"> Фундаментные блоки ФБС24.6.6-Т (28 шт*0,81 м3)</t>
  </si>
  <si>
    <t xml:space="preserve">Устройство ленточных фундаментов: железобетонных при ширине по верху до 1000 мм
</t>
  </si>
  <si>
    <t xml:space="preserve">Устройство тепло- и звукоизоляции сплошной из плит: или матов минераловатных или стекловолокнистых
</t>
  </si>
  <si>
    <t xml:space="preserve">ФЕР 11-01-009-01
</t>
  </si>
  <si>
    <t xml:space="preserve">ФЕР 11-01-011-01
</t>
  </si>
  <si>
    <t xml:space="preserve">Устройство стяжек: цементных толщиной 20 мм
</t>
  </si>
  <si>
    <t xml:space="preserve">ФЕР 01-01-034-02
</t>
  </si>
  <si>
    <t>Засыпка траншей и котлованов с перемещением грунта до 5 м бульдозерами мощностью: 96 кВт (130 л.с.), группа грунтов 2</t>
  </si>
  <si>
    <t>442-5001</t>
  </si>
  <si>
    <t>Перемычки железобетонные 1ПБ 10-1 (10 шт*0,008 м3)</t>
  </si>
  <si>
    <t>Перемычки железобетонные 3ПБ 13-37 (9 шт*0,034 м3)</t>
  </si>
  <si>
    <t>Перемычки железобетонные 2ПБ 10-1 (1 шт*0,017 м3)</t>
  </si>
  <si>
    <t>Перемычки железобетонные 2ПБ 26-4 (12 шт*0,044 м3)</t>
  </si>
  <si>
    <t>Перемычки железобетонные 2ПБ 10-1-п(1 шт*0,017 м3)</t>
  </si>
  <si>
    <t>1</t>
  </si>
  <si>
    <t>ФЕР 07-05-011-01</t>
  </si>
  <si>
    <t>444-2000</t>
  </si>
  <si>
    <t xml:space="preserve"> Плиты перекрытий железобетонные 1ПК24.15 (8 шт*0,44 м3)</t>
  </si>
  <si>
    <t xml:space="preserve">ФЕР 07-05-011-02
</t>
  </si>
  <si>
    <t>Установка панелей перекрытий с опиранием: по контуру площадью до 15 м2</t>
  </si>
  <si>
    <t xml:space="preserve"> Плиты перекрытий железобетонные 1ПК48.12 (16 шт*0,72 м3)</t>
  </si>
  <si>
    <t xml:space="preserve">Устройство кровли из металлочерепицы по готовым прогонам: простая кровля
</t>
  </si>
  <si>
    <t>ФЕР 12-01-023-01</t>
  </si>
  <si>
    <t>Дополнительные элементы металлочерепичной кровли: разжелобки, коньки, ендовы, карнизные и торцевые планки, заглушки и т.д.</t>
  </si>
  <si>
    <t>шт.</t>
  </si>
  <si>
    <t>101-9495</t>
  </si>
  <si>
    <t>ФЕР 10-01-052-02</t>
  </si>
  <si>
    <t>Устройство: внутриквартирных лестниц без подшивки</t>
  </si>
  <si>
    <t>ФЕР 08-05-002-01</t>
  </si>
  <si>
    <t>Устройство крылец: с входной площадкой</t>
  </si>
  <si>
    <t>14</t>
  </si>
  <si>
    <t>15</t>
  </si>
  <si>
    <t>20</t>
  </si>
  <si>
    <t>27</t>
  </si>
  <si>
    <t>28</t>
  </si>
  <si>
    <t>29</t>
  </si>
  <si>
    <t>30</t>
  </si>
  <si>
    <t>ФЕР 11-01-009-01</t>
  </si>
  <si>
    <t>Устройство тепло- и звукоизоляции сплошной из плит: или матов минераловатных или стекловолокнистых</t>
  </si>
  <si>
    <t>35</t>
  </si>
  <si>
    <t>36</t>
  </si>
  <si>
    <t>37</t>
  </si>
  <si>
    <t>39</t>
  </si>
  <si>
    <t>40</t>
  </si>
  <si>
    <t>41</t>
  </si>
  <si>
    <t>Устройство стяжек: из выравнивающей смеси типа "Ветонит" 5000, толщиной 5 мм</t>
  </si>
  <si>
    <t>38</t>
  </si>
  <si>
    <t>ФЕР 15-02-015-09</t>
  </si>
  <si>
    <t>Штукатурка поверхностей внутри здания известковым раствором высококачественная: по камню и бетону стен</t>
  </si>
  <si>
    <t>ФЕР 15-02-015-10</t>
  </si>
  <si>
    <t>Штукатурка поверхностей внутри здания известковым раствором высококачественная: по камню и бетону потолков</t>
  </si>
  <si>
    <t>42</t>
  </si>
  <si>
    <t>43</t>
  </si>
  <si>
    <t>Высококачественная окраска масляными составами по сборным конструкциям: стен, подготовленных под окраску</t>
  </si>
  <si>
    <t xml:space="preserve">ФЕР 15-04-026-08
</t>
  </si>
  <si>
    <t xml:space="preserve">ФЕР 15-04-026-09
</t>
  </si>
  <si>
    <t>Высококачественная окраска масляными составами по сборным конструкциям: потолков, подготовленных под окраску</t>
  </si>
  <si>
    <t>44</t>
  </si>
  <si>
    <t>Облицовка стен на цементном растворе с карнизными, плинтусными и угловыми плитками: в жилых зданиях по кирпичу и бетону</t>
  </si>
  <si>
    <t xml:space="preserve">ФЕР 15-01-020-01
</t>
  </si>
  <si>
    <t>45</t>
  </si>
  <si>
    <t xml:space="preserve">ФЕР 11-01-031-04 
</t>
  </si>
  <si>
    <t>Устройство покрытий: из мраморных плит при количестве плит на 1 м2 до 10 шт.</t>
  </si>
  <si>
    <t>Р.Фасадные работы</t>
  </si>
  <si>
    <t>Устройство наружной теплоизоляции зданий с тонкой штукатуркой по утеплителю плит до : 150 мм</t>
  </si>
  <si>
    <t xml:space="preserve">ФЕР 15-01-080-04
</t>
  </si>
  <si>
    <t>Плиты теплоизоляционные из минеральной ваты на синтетическом связующем М -250 ( ГОСТ 9573-82)</t>
  </si>
  <si>
    <t>104-0003</t>
  </si>
  <si>
    <t>Итого по разделу Р:</t>
  </si>
  <si>
    <t>Монтаж оборудования 0,6%</t>
  </si>
  <si>
    <t>Приобретение оборудования 1,5%</t>
  </si>
  <si>
    <t>Дополнительные затраты на производство работ в зимнее время. зона III 1.2%</t>
  </si>
  <si>
    <t>Малоэтажный жилой дом в г.Боровичи</t>
  </si>
  <si>
    <t>Малоэтажный жилой дом в г.Боровчичи</t>
  </si>
  <si>
    <t>Затраты по отводу земельного участка, выдаче архитетурно-планировочного задания и выделению красных линий застройки ( площадь участка 0,1  га стоит 2911* коэффициент перехода в текущие цены для Боровичей 18,737)</t>
  </si>
  <si>
    <t>Затраты по разбивке основных осей здания и сооружения, переносу их в натуру и закреплению пунктами и знаками (длина осей здания 131 м* коэффициент перехода в текущие цены для Боровичей 18,737)</t>
  </si>
  <si>
    <t>46</t>
  </si>
  <si>
    <t>47</t>
  </si>
  <si>
    <t>48</t>
  </si>
  <si>
    <t>СВОДНЫЙ СМЕТНЫЙ РАСЧЁТ СТОИМОСТИ СТРОИТЕЛЬСТВА № ССРСС- 19</t>
  </si>
  <si>
    <t>СНиП 3.01.03-84 УПС-19</t>
  </si>
  <si>
    <t>ЛС-19</t>
  </si>
  <si>
    <t>ЛС-СР-19</t>
  </si>
  <si>
    <t>ЛС-ЭМ-19</t>
  </si>
  <si>
    <t>ЛС-МО-19</t>
  </si>
  <si>
    <t>ЛС-ПО-19</t>
  </si>
  <si>
    <t>ЛОКАЛЬНЫЙ СМЕТНЫЙ РАСЧЕТ № 19</t>
  </si>
  <si>
    <t>Ноябрь 2023 г.</t>
  </si>
  <si>
    <t>Ноябрь 2023г.</t>
  </si>
  <si>
    <t>ОБЪЕКТНЫЙ СМЕТНЫЙ РАСЧЕТ (СМЕТА) № ОС -19</t>
  </si>
  <si>
    <t>Форма № 19</t>
  </si>
  <si>
    <t>Укладка блоков и плит ленточных фундаментов при глубине котлована до 4 м, масса конструкций: до 1,5 т. (ФЛ16.8-1)</t>
  </si>
  <si>
    <t>Укладка блоков и плит ленточных фундаментов при глубине котлована до 4 м, масса конструкций: до 1,5 т. (ФЛ14.12-1)</t>
  </si>
  <si>
    <t>Укладка блоков и плит ленточных фундаментов при глубине котлована до 4 м, масса конструкций: до 1,5 т.(14.8-1)</t>
  </si>
  <si>
    <t>5.1</t>
  </si>
  <si>
    <t>5.2</t>
  </si>
  <si>
    <t>5.3</t>
  </si>
  <si>
    <t xml:space="preserve">Укладка блоков и плит ленточных фундаментов при глубине котлована до 4 м, масса конструкций: до 3,5 т(ФЛ16.24-1) </t>
  </si>
  <si>
    <t>Укладка блоков и плит ленточных фундаментов при глубине котлована до 4 м, масса конструкций: более 3,5 т.</t>
  </si>
  <si>
    <t>7.1</t>
  </si>
  <si>
    <t>7.2</t>
  </si>
  <si>
    <t>7.3</t>
  </si>
  <si>
    <t>7.4</t>
  </si>
  <si>
    <t>Укладка блоков и плит ленточных фундаментов при глубине котлована до 4 м, масса конструкций: до 1,5 т.(ФБС12.6.6-Т)</t>
  </si>
  <si>
    <t>Укладка блоков и плит ленточных фундаментов при глубине котлована до 4 м, масса конструкций: до 1,5 т.(ФБС8.6.6-Т)</t>
  </si>
  <si>
    <t>Укладка блоков и плит ленточных фундаментов при глубине котлована до 4 м, масса конструкций: до 1,5 т.(ФБС12.4.6-Т)</t>
  </si>
  <si>
    <t>Укладка блоков и плит ленточных фундаментов при глубине котлована до 4 м, масса конструкций: до 1,5 т.(ФБС9.4.6-Т)</t>
  </si>
  <si>
    <t>Укладка блоков и плит ленточных фундаментов при глубине котлована до 4 м, масса конструкций: до 3,5 т.</t>
  </si>
  <si>
    <t>Укладка блоков и плит ленточных фундаментов при глубине котлована до 4 м, масса конструкций: до 3,5 т.(ФБС24.6.6-Т)</t>
  </si>
  <si>
    <t>Укладка блоков и плит ленточных фундаментов при глубине котлована до 4 м, масса конструкций: до 3,5 т.(ФБС24.4.6-Т)</t>
  </si>
  <si>
    <t>Укладка перемычек массой до 0,3 т.(3ПБ 13-37)</t>
  </si>
  <si>
    <t>Укладка перемычек массой до 0,3 т.(2ПБ 10-1)</t>
  </si>
  <si>
    <t>Укладка перемычек массой до 0,3 т.(1ПБ 10-1)</t>
  </si>
  <si>
    <t>Укладка перемычек массой до 0,3 т.(2ПБ 26-4)</t>
  </si>
  <si>
    <t>Укладка перемычек массой до 0,3 т.(2ПБ 10-1-п)</t>
  </si>
  <si>
    <t>Установка панелей перекрытий с опиранием: на 2 стороны площадью до 5 м2(1ПК24.15)</t>
  </si>
  <si>
    <t>Установка панелей перекрытий с опиранием: на 2 стороны площадью до 15 м2(1ПК48.12)</t>
  </si>
  <si>
    <t>Устройство кровли из металлочерепицы по готовым прогонам: простая кровля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</si>
  <si>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двухстворчатых( Скобяные изделия)</t>
  </si>
  <si>
    <t>Установка блоков из ПВХ в наружных и внутренних дверных проемах: в каменных стенах площадью проема более 3 м2(Скобяные изделия)</t>
  </si>
  <si>
    <t>Укладка перемычек массой до 0,3 т.</t>
  </si>
  <si>
    <t>8.1</t>
  </si>
  <si>
    <t>8.2</t>
  </si>
  <si>
    <t>21.1</t>
  </si>
  <si>
    <t>21.2</t>
  </si>
  <si>
    <t>21.3</t>
  </si>
  <si>
    <t>21.4</t>
  </si>
  <si>
    <t>21.5</t>
  </si>
  <si>
    <t>33.1</t>
  </si>
  <si>
    <t>34.1</t>
  </si>
  <si>
    <t>Устройство наружной теплоизоляции зданий с тонкой штукатуркой по утеплителю плит до : 150 мм(Плиты теплоизоляционные из минеральной ваты на синтетическом связующем М -250 ( ГОСТ 9573-82))</t>
  </si>
  <si>
    <t>48.1</t>
  </si>
  <si>
    <t>Трудозатраты рабочих 2 разряда</t>
  </si>
  <si>
    <t>чел.-ч</t>
  </si>
  <si>
    <t>ФЕР 01-02-057-02</t>
  </si>
  <si>
    <t>ФЕР 08-01-002-01</t>
  </si>
  <si>
    <t>ФЕР 07-01-001-02</t>
  </si>
  <si>
    <t>ФЕР 07-01-001-03</t>
  </si>
  <si>
    <t>ФЕР 11-01-002-01</t>
  </si>
  <si>
    <t>ФЕР 11-01-002-09</t>
  </si>
  <si>
    <t>ФЕР 11-01-004-01</t>
  </si>
  <si>
    <t>ФЕР 11-01-011-01</t>
  </si>
  <si>
    <t>ФЕР 08-01-003-07</t>
  </si>
  <si>
    <t>ФЕР 08-01-003-03</t>
  </si>
  <si>
    <t>ФЕР 07-05-011-02</t>
  </si>
  <si>
    <t>ФЕР 11-01-11-08</t>
  </si>
  <si>
    <t>ФЕР 15-04-026-08</t>
  </si>
  <si>
    <t>ФЕР 15-04-026-09</t>
  </si>
  <si>
    <t>ФЕР 15-01-020-01</t>
  </si>
  <si>
    <t xml:space="preserve">ФЕР 11-01-031-04 </t>
  </si>
  <si>
    <t>ФЕР 11-01-034-03</t>
  </si>
  <si>
    <t>ФЕР 11-01-040-03</t>
  </si>
  <si>
    <t>ФЕР 15-01-080-04</t>
  </si>
  <si>
    <t>Трудозатраты рабочих 2,5 разряда</t>
  </si>
  <si>
    <t>Трудозатраты рабочих 3,3 разряда</t>
  </si>
  <si>
    <t>Трудозатраты рабочих 3,5 разряда</t>
  </si>
  <si>
    <t>Трудозатраты рабочих 3,1 разряда</t>
  </si>
  <si>
    <t>Трудозатраты рабочих 2,8 разряда</t>
  </si>
  <si>
    <t>Трудозатраты рабочих 5,1 разряда</t>
  </si>
  <si>
    <t>Трудозатраты рабочих 3,4 разряда</t>
  </si>
  <si>
    <t>Трудозатраты рабочих 2,2 разряда</t>
  </si>
  <si>
    <t>Трудозатраты рабочих 3,9 разряда</t>
  </si>
  <si>
    <t>Трудозатраты рабочих 3 разряда</t>
  </si>
  <si>
    <t>Трудозатраты рабочих 3,2 разряда</t>
  </si>
  <si>
    <t>Трудозатраты рабочих 2,7 разряда</t>
  </si>
  <si>
    <t>Трудозатраты рабочих 3,6 разряда</t>
  </si>
  <si>
    <t>Трудозатраты рабочих 3,8 разряда</t>
  </si>
  <si>
    <t>Трудозатраты рабочих 4 разряда</t>
  </si>
  <si>
    <t>ФЕР10-01-052-04</t>
  </si>
  <si>
    <t>ФЕР 10-01-052-04</t>
  </si>
  <si>
    <t>Трудозатраты рабочих 4,4 разряда</t>
  </si>
  <si>
    <t>Трудозатраты рабочих 4,2 разряда</t>
  </si>
  <si>
    <t>ФЕР 01-01-034-02</t>
  </si>
  <si>
    <t>Трудозатраты машинистов 5 разряда</t>
  </si>
  <si>
    <t>Трудозатраты машинистов 6 разряда</t>
  </si>
  <si>
    <t>Трудозатраты машинистов 4 разряда</t>
  </si>
  <si>
    <r>
      <t>n=</t>
    </r>
    <r>
      <rPr>
        <sz val="12"/>
        <rFont val="Times New Roman"/>
        <family val="1"/>
        <charset val="204"/>
      </rPr>
      <t>3688,67/90*8</t>
    </r>
    <r>
      <rPr>
        <sz val="12"/>
        <color theme="1"/>
        <rFont val="Times New Roman"/>
        <family val="1"/>
        <charset val="204"/>
      </rPr>
      <t>=</t>
    </r>
  </si>
  <si>
    <t>2 разряд = (288,37*6)/3688,67=</t>
  </si>
  <si>
    <t>3 разряд = (1810,24*6)/3688,67=</t>
  </si>
  <si>
    <t>4 разряд = (1356,51*6)/3688,67=</t>
  </si>
  <si>
    <t>Рср=(1*2+3*3+2*4)/6=</t>
  </si>
  <si>
    <t xml:space="preserve">Тст.ч = 1447092,66/3688,67= </t>
  </si>
  <si>
    <t>37,76– индекс к заработной плате</t>
  </si>
  <si>
    <t xml:space="preserve">392,31/37,76= </t>
  </si>
  <si>
    <t>что соответствует разряду работ 3,0</t>
  </si>
  <si>
    <t>Объектная смета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</si>
</sst>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"/>
    <numFmt numFmtId="166" formatCode="#,##0.00\ _₽"/>
    <numFmt numFmtId="167" formatCode="#,##0.0\ _₽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rgb="FF333333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585858"/>
      <name val="Times New Roman"/>
      <family val="1"/>
      <charset val="204"/>
    </font>
    <font>
      <i/>
      <sz val="12"/>
      <color rgb="FF585858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15">
    <xf numFmtId="0" fontId="0" fillId="0" borderId="0" xfId="0"/>
    <xf numFmtId="0" fontId="0" fillId="0" borderId="0" xfId="0" applyAlignment="1">
      <alignment horizontal="left" vertical="top"/>
    </xf>
    <xf numFmtId="0" fontId="2" fillId="0" borderId="16" xfId="0" applyFont="1" applyBorder="1" applyAlignment="1">
      <alignment wrapText="1"/>
    </xf>
    <xf numFmtId="0" fontId="0" fillId="2" borderId="0" xfId="0" applyFill="1"/>
    <xf numFmtId="0" fontId="2" fillId="0" borderId="21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66" fontId="9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66" fontId="9" fillId="2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9" fillId="3" borderId="1" xfId="0" applyFont="1" applyFill="1" applyBorder="1" applyAlignment="1">
      <alignment horizontal="center" wrapText="1"/>
    </xf>
    <xf numFmtId="166" fontId="9" fillId="3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1" fillId="0" borderId="16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6" xfId="0" applyFont="1" applyBorder="1" applyAlignment="1">
      <alignment horizontal="right" wrapText="1"/>
    </xf>
    <xf numFmtId="0" fontId="1" fillId="0" borderId="16" xfId="0" applyFont="1" applyBorder="1" applyAlignment="1">
      <alignment horizontal="right" wrapText="1"/>
    </xf>
    <xf numFmtId="0" fontId="8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wrapText="1"/>
    </xf>
    <xf numFmtId="0" fontId="2" fillId="3" borderId="16" xfId="0" applyFont="1" applyFill="1" applyBorder="1" applyAlignment="1">
      <alignment vertical="center"/>
    </xf>
    <xf numFmtId="0" fontId="8" fillId="0" borderId="16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top" wrapText="1"/>
    </xf>
    <xf numFmtId="165" fontId="2" fillId="0" borderId="16" xfId="0" applyNumberFormat="1" applyFont="1" applyBorder="1" applyAlignment="1">
      <alignment wrapText="1"/>
    </xf>
    <xf numFmtId="0" fontId="4" fillId="0" borderId="16" xfId="0" applyFont="1" applyBorder="1" applyAlignment="1">
      <alignment vertical="center"/>
    </xf>
    <xf numFmtId="165" fontId="2" fillId="0" borderId="16" xfId="0" applyNumberFormat="1" applyFont="1" applyBorder="1" applyAlignment="1">
      <alignment horizontal="right" wrapText="1"/>
    </xf>
    <xf numFmtId="165" fontId="3" fillId="0" borderId="16" xfId="0" applyNumberFormat="1" applyFont="1" applyBorder="1" applyAlignment="1">
      <alignment horizontal="right" wrapText="1"/>
    </xf>
    <xf numFmtId="166" fontId="1" fillId="0" borderId="16" xfId="0" applyNumberFormat="1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3" borderId="16" xfId="0" applyFont="1" applyFill="1" applyBorder="1" applyAlignment="1">
      <alignment vertical="center"/>
    </xf>
    <xf numFmtId="0" fontId="4" fillId="0" borderId="16" xfId="0" applyFont="1" applyBorder="1" applyAlignment="1">
      <alignment horizontal="right" wrapText="1"/>
    </xf>
    <xf numFmtId="167" fontId="2" fillId="0" borderId="16" xfId="0" applyNumberFormat="1" applyFont="1" applyBorder="1" applyAlignment="1">
      <alignment horizontal="right" wrapText="1"/>
    </xf>
    <xf numFmtId="3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22" xfId="0" applyFont="1" applyFill="1" applyBorder="1" applyAlignment="1">
      <alignment wrapText="1"/>
    </xf>
    <xf numFmtId="0" fontId="1" fillId="0" borderId="2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1" fillId="0" borderId="19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166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right" wrapText="1"/>
    </xf>
    <xf numFmtId="167" fontId="0" fillId="0" borderId="0" xfId="0" applyNumberFormat="1"/>
    <xf numFmtId="166" fontId="2" fillId="0" borderId="1" xfId="0" applyNumberFormat="1" applyFont="1" applyBorder="1" applyAlignment="1">
      <alignment horizontal="center" vertical="center" wrapText="1"/>
    </xf>
    <xf numFmtId="0" fontId="2" fillId="2" borderId="20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2" fontId="2" fillId="2" borderId="0" xfId="0" applyNumberFormat="1" applyFont="1" applyFill="1" applyAlignment="1">
      <alignment vertical="center" wrapText="1"/>
    </xf>
    <xf numFmtId="39" fontId="2" fillId="2" borderId="1" xfId="1" applyNumberFormat="1" applyFont="1" applyFill="1" applyBorder="1" applyAlignment="1">
      <alignment horizontal="center" vertical="top" wrapText="1"/>
    </xf>
    <xf numFmtId="39" fontId="4" fillId="2" borderId="1" xfId="1" applyNumberFormat="1" applyFont="1" applyFill="1" applyBorder="1" applyAlignment="1">
      <alignment horizontal="center" vertical="center" wrapText="1"/>
    </xf>
    <xf numFmtId="39" fontId="2" fillId="2" borderId="1" xfId="1" applyNumberFormat="1" applyFont="1" applyFill="1" applyBorder="1" applyAlignment="1">
      <alignment horizontal="center" vertical="center" wrapText="1"/>
    </xf>
    <xf numFmtId="39" fontId="2" fillId="2" borderId="1" xfId="1" applyNumberFormat="1" applyFont="1" applyFill="1" applyBorder="1" applyAlignment="1">
      <alignment vertical="center" wrapText="1"/>
    </xf>
    <xf numFmtId="39" fontId="2" fillId="2" borderId="1" xfId="1" applyNumberFormat="1" applyFont="1" applyFill="1" applyBorder="1" applyAlignment="1">
      <alignment wrapText="1"/>
    </xf>
    <xf numFmtId="39" fontId="2" fillId="2" borderId="1" xfId="1" applyNumberFormat="1" applyFont="1" applyFill="1" applyBorder="1" applyAlignment="1">
      <alignment vertical="top" wrapText="1"/>
    </xf>
    <xf numFmtId="49" fontId="2" fillId="2" borderId="1" xfId="1" applyNumberFormat="1" applyFont="1" applyFill="1" applyBorder="1" applyAlignment="1">
      <alignment horizontal="right" vertical="top" wrapText="1"/>
    </xf>
    <xf numFmtId="39" fontId="2" fillId="2" borderId="1" xfId="1" applyNumberFormat="1" applyFont="1" applyFill="1" applyBorder="1" applyAlignment="1">
      <alignment horizontal="center" wrapText="1"/>
    </xf>
    <xf numFmtId="39" fontId="5" fillId="2" borderId="1" xfId="1" applyNumberFormat="1" applyFont="1" applyFill="1" applyBorder="1"/>
    <xf numFmtId="39" fontId="2" fillId="2" borderId="1" xfId="1" applyNumberFormat="1" applyFont="1" applyFill="1" applyBorder="1"/>
    <xf numFmtId="39" fontId="5" fillId="2" borderId="1" xfId="1" applyNumberFormat="1" applyFont="1" applyFill="1" applyBorder="1" applyAlignment="1">
      <alignment vertical="top" wrapText="1"/>
    </xf>
    <xf numFmtId="39" fontId="5" fillId="2" borderId="1" xfId="1" applyNumberFormat="1" applyFont="1" applyFill="1" applyBorder="1" applyAlignment="1">
      <alignment horizontal="center" vertical="center"/>
    </xf>
    <xf numFmtId="39" fontId="5" fillId="2" borderId="1" xfId="1" applyNumberFormat="1" applyFont="1" applyFill="1" applyBorder="1" applyAlignment="1">
      <alignment horizontal="left" vertical="top"/>
    </xf>
    <xf numFmtId="39" fontId="2" fillId="2" borderId="1" xfId="1" applyNumberFormat="1" applyFont="1" applyFill="1" applyBorder="1" applyAlignment="1">
      <alignment horizontal="center" vertical="center"/>
    </xf>
    <xf numFmtId="39" fontId="2" fillId="2" borderId="1" xfId="1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wrapText="1"/>
    </xf>
    <xf numFmtId="166" fontId="2" fillId="2" borderId="1" xfId="0" applyNumberFormat="1" applyFont="1" applyFill="1" applyBorder="1"/>
    <xf numFmtId="166" fontId="2" fillId="2" borderId="1" xfId="0" applyNumberFormat="1" applyFont="1" applyFill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2" fontId="4" fillId="2" borderId="20" xfId="0" applyNumberFormat="1" applyFont="1" applyFill="1" applyBorder="1" applyAlignment="1">
      <alignment wrapText="1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2" fontId="16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2" fillId="2" borderId="2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6" fontId="3" fillId="2" borderId="1" xfId="0" applyNumberFormat="1" applyFont="1" applyFill="1" applyBorder="1" applyAlignment="1">
      <alignment horizontal="center" wrapText="1"/>
    </xf>
    <xf numFmtId="4" fontId="3" fillId="2" borderId="1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39" fontId="2" fillId="2" borderId="1" xfId="1" applyNumberFormat="1" applyFont="1" applyFill="1" applyBorder="1" applyAlignment="1">
      <alignment wrapText="1"/>
    </xf>
    <xf numFmtId="39" fontId="2" fillId="2" borderId="1" xfId="1" applyNumberFormat="1" applyFont="1" applyFill="1" applyBorder="1" applyAlignment="1">
      <alignment vertical="top" wrapText="1"/>
    </xf>
    <xf numFmtId="39" fontId="2" fillId="2" borderId="1" xfId="1" applyNumberFormat="1" applyFont="1" applyFill="1" applyBorder="1" applyAlignment="1">
      <alignment horizontal="center" vertical="top" wrapText="1"/>
    </xf>
    <xf numFmtId="49" fontId="2" fillId="2" borderId="1" xfId="1" applyNumberFormat="1" applyFont="1" applyFill="1" applyBorder="1" applyAlignment="1">
      <alignment horizontal="center" vertical="top" wrapText="1"/>
    </xf>
    <xf numFmtId="39" fontId="2" fillId="2" borderId="1" xfId="1" applyNumberFormat="1" applyFont="1" applyFill="1" applyBorder="1" applyAlignment="1">
      <alignment horizontal="center" vertical="center" wrapText="1"/>
    </xf>
    <xf numFmtId="39" fontId="2" fillId="2" borderId="1" xfId="1" applyNumberFormat="1" applyFont="1" applyFill="1" applyBorder="1" applyAlignment="1">
      <alignment horizontal="center" wrapText="1"/>
    </xf>
    <xf numFmtId="39" fontId="2" fillId="2" borderId="1" xfId="1" applyNumberFormat="1" applyFont="1" applyFill="1" applyBorder="1" applyAlignment="1">
      <alignment horizontal="center"/>
    </xf>
    <xf numFmtId="39" fontId="2" fillId="2" borderId="1" xfId="1" applyNumberFormat="1" applyFont="1" applyFill="1" applyBorder="1" applyAlignment="1">
      <alignment horizontal="left"/>
    </xf>
    <xf numFmtId="39" fontId="2" fillId="2" borderId="1" xfId="1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39" fontId="2" fillId="2" borderId="1" xfId="1" applyNumberFormat="1" applyFont="1" applyFill="1" applyBorder="1" applyAlignment="1">
      <alignment horizontal="left" vertical="top" wrapText="1"/>
    </xf>
    <xf numFmtId="39" fontId="2" fillId="2" borderId="1" xfId="1" applyNumberFormat="1" applyFont="1" applyFill="1" applyBorder="1" applyAlignment="1">
      <alignment horizontal="center" vertical="center"/>
    </xf>
    <xf numFmtId="39" fontId="3" fillId="2" borderId="1" xfId="1" applyNumberFormat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39" fontId="3" fillId="2" borderId="1" xfId="1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165" fontId="2" fillId="2" borderId="20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4" fillId="2" borderId="20" xfId="0" applyFont="1" applyFill="1" applyBorder="1" applyAlignment="1">
      <alignment horizontal="center" vertical="top" wrapText="1"/>
    </xf>
    <xf numFmtId="0" fontId="14" fillId="2" borderId="20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wrapText="1"/>
    </xf>
    <xf numFmtId="2" fontId="2" fillId="2" borderId="20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9" fontId="2" fillId="0" borderId="0" xfId="1" applyNumberFormat="1" applyFont="1" applyBorder="1" applyAlignment="1">
      <alignment wrapText="1"/>
    </xf>
    <xf numFmtId="39" fontId="2" fillId="0" borderId="0" xfId="1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166" fontId="2" fillId="0" borderId="10" xfId="0" applyNumberFormat="1" applyFont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 vertical="center" wrapText="1"/>
    </xf>
    <xf numFmtId="166" fontId="2" fillId="0" borderId="1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wrapText="1"/>
    </xf>
    <xf numFmtId="2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2" borderId="20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opLeftCell="A58" zoomScale="85" zoomScaleNormal="85" workbookViewId="0">
      <selection activeCell="H1" sqref="H1"/>
    </sheetView>
  </sheetViews>
  <sheetFormatPr defaultRowHeight="14.4" x14ac:dyDescent="0.3"/>
  <cols>
    <col min="1" max="1" width="7.6640625" bestFit="1" customWidth="1"/>
    <col min="2" max="2" width="130.5546875" bestFit="1" customWidth="1"/>
    <col min="3" max="3" width="15.6640625" bestFit="1" customWidth="1"/>
    <col min="4" max="4" width="14.6640625" bestFit="1" customWidth="1"/>
    <col min="5" max="5" width="12.6640625" bestFit="1" customWidth="1"/>
    <col min="6" max="6" width="15.21875" bestFit="1" customWidth="1"/>
    <col min="7" max="7" width="13" bestFit="1" customWidth="1"/>
    <col min="8" max="8" width="11.6640625" bestFit="1" customWidth="1"/>
  </cols>
  <sheetData>
    <row r="1" spans="1:8" ht="46.8" x14ac:dyDescent="0.3">
      <c r="A1" s="15" t="s">
        <v>171</v>
      </c>
      <c r="B1" s="31" t="s">
        <v>430</v>
      </c>
      <c r="C1" s="15" t="s">
        <v>431</v>
      </c>
      <c r="D1" s="15" t="s">
        <v>432</v>
      </c>
      <c r="E1" s="15" t="s">
        <v>433</v>
      </c>
      <c r="F1" s="15" t="s">
        <v>446</v>
      </c>
      <c r="G1" s="15" t="s">
        <v>434</v>
      </c>
      <c r="H1" s="15" t="s">
        <v>21</v>
      </c>
    </row>
    <row r="2" spans="1:8" ht="15.6" x14ac:dyDescent="0.3">
      <c r="A2" s="112" t="s">
        <v>459</v>
      </c>
      <c r="B2" s="113"/>
      <c r="C2" s="113"/>
      <c r="D2" s="113"/>
      <c r="E2" s="113"/>
      <c r="F2" s="113"/>
      <c r="G2" s="113"/>
      <c r="H2" s="114"/>
    </row>
    <row r="3" spans="1:8" ht="15.6" x14ac:dyDescent="0.3">
      <c r="A3" s="112" t="s">
        <v>460</v>
      </c>
      <c r="B3" s="113"/>
      <c r="C3" s="113"/>
      <c r="D3" s="113"/>
      <c r="E3" s="113"/>
      <c r="F3" s="113"/>
      <c r="G3" s="113"/>
      <c r="H3" s="114"/>
    </row>
    <row r="4" spans="1:8" ht="15.6" x14ac:dyDescent="0.3">
      <c r="A4" s="9">
        <v>1</v>
      </c>
      <c r="B4" s="43" t="s">
        <v>445</v>
      </c>
      <c r="C4" s="9"/>
      <c r="D4" s="9"/>
      <c r="E4" s="9"/>
      <c r="F4" s="9"/>
      <c r="G4" s="9" t="s">
        <v>31</v>
      </c>
      <c r="H4" s="9">
        <v>0.1</v>
      </c>
    </row>
    <row r="5" spans="1:8" ht="31.2" x14ac:dyDescent="0.3">
      <c r="A5" s="9">
        <v>2</v>
      </c>
      <c r="B5" s="9" t="s">
        <v>447</v>
      </c>
      <c r="C5" s="9"/>
      <c r="D5" s="9"/>
      <c r="E5" s="9"/>
      <c r="F5" s="9"/>
      <c r="G5" s="9" t="s">
        <v>31</v>
      </c>
      <c r="H5" s="9">
        <v>0.53</v>
      </c>
    </row>
    <row r="6" spans="1:8" ht="31.2" x14ac:dyDescent="0.3">
      <c r="A6" s="9">
        <v>3</v>
      </c>
      <c r="B6" s="9" t="s">
        <v>448</v>
      </c>
      <c r="C6" s="9"/>
      <c r="D6" s="9"/>
      <c r="E6" s="9"/>
      <c r="F6" s="9"/>
      <c r="G6" s="9" t="s">
        <v>31</v>
      </c>
      <c r="H6" s="9">
        <v>0.21</v>
      </c>
    </row>
    <row r="7" spans="1:8" ht="15.6" customHeight="1" x14ac:dyDescent="0.3">
      <c r="A7" s="112" t="s">
        <v>48</v>
      </c>
      <c r="B7" s="113"/>
      <c r="C7" s="113"/>
      <c r="D7" s="113"/>
      <c r="E7" s="113"/>
      <c r="F7" s="113"/>
      <c r="G7" s="113"/>
      <c r="H7" s="114"/>
    </row>
    <row r="8" spans="1:8" ht="15.6" x14ac:dyDescent="0.3">
      <c r="A8" s="9">
        <v>4</v>
      </c>
      <c r="B8" s="9" t="s">
        <v>449</v>
      </c>
      <c r="C8" s="9"/>
      <c r="D8" s="9"/>
      <c r="E8" s="9"/>
      <c r="F8" s="9"/>
      <c r="G8" s="9" t="s">
        <v>50</v>
      </c>
      <c r="H8" s="9">
        <v>15.2</v>
      </c>
    </row>
    <row r="9" spans="1:8" ht="15.6" x14ac:dyDescent="0.3">
      <c r="A9" s="9">
        <v>5</v>
      </c>
      <c r="B9" s="9" t="s">
        <v>450</v>
      </c>
      <c r="C9" s="9"/>
      <c r="D9" s="9"/>
      <c r="E9" s="9"/>
      <c r="F9" s="9"/>
      <c r="G9" s="9" t="s">
        <v>52</v>
      </c>
      <c r="H9" s="9">
        <v>0.16</v>
      </c>
    </row>
    <row r="10" spans="1:8" ht="15.6" x14ac:dyDescent="0.3">
      <c r="A10" s="44" t="s">
        <v>578</v>
      </c>
      <c r="B10" s="9" t="s">
        <v>575</v>
      </c>
      <c r="C10" s="9">
        <v>0.65</v>
      </c>
      <c r="D10" s="9">
        <f>0.65*1</f>
        <v>0.65</v>
      </c>
      <c r="E10" s="9">
        <v>0.26</v>
      </c>
      <c r="F10" s="9">
        <f>0.26*1</f>
        <v>0.26</v>
      </c>
      <c r="G10" s="9" t="s">
        <v>52</v>
      </c>
      <c r="H10" s="9">
        <v>0.01</v>
      </c>
    </row>
    <row r="11" spans="1:8" ht="15.6" x14ac:dyDescent="0.3">
      <c r="A11" s="44" t="s">
        <v>579</v>
      </c>
      <c r="B11" s="9" t="s">
        <v>576</v>
      </c>
      <c r="C11" s="9">
        <v>1.04</v>
      </c>
      <c r="D11" s="9">
        <f>1.04*5</f>
        <v>5.2</v>
      </c>
      <c r="E11" s="9">
        <v>0.42</v>
      </c>
      <c r="F11" s="9">
        <f>0.42*5</f>
        <v>2.1</v>
      </c>
      <c r="G11" s="9" t="s">
        <v>52</v>
      </c>
      <c r="H11" s="9">
        <v>0.05</v>
      </c>
    </row>
    <row r="12" spans="1:8" ht="15.6" x14ac:dyDescent="0.3">
      <c r="A12" s="44" t="s">
        <v>580</v>
      </c>
      <c r="B12" s="9" t="s">
        <v>577</v>
      </c>
      <c r="C12" s="9">
        <v>0.68500000000000005</v>
      </c>
      <c r="D12" s="9">
        <f>0.685*10</f>
        <v>6.8500000000000005</v>
      </c>
      <c r="E12" s="9">
        <v>0.27</v>
      </c>
      <c r="F12" s="9">
        <f>0.27*10</f>
        <v>2.7</v>
      </c>
      <c r="G12" s="9" t="s">
        <v>52</v>
      </c>
      <c r="H12" s="9">
        <v>0.1</v>
      </c>
    </row>
    <row r="13" spans="1:8" ht="15.6" x14ac:dyDescent="0.3">
      <c r="A13" s="9">
        <v>6</v>
      </c>
      <c r="B13" s="9" t="s">
        <v>451</v>
      </c>
      <c r="C13" s="9"/>
      <c r="D13" s="9"/>
      <c r="E13" s="9"/>
      <c r="F13" s="9"/>
      <c r="G13" s="9" t="s">
        <v>52</v>
      </c>
      <c r="H13" s="9">
        <v>0.28000000000000003</v>
      </c>
    </row>
    <row r="14" spans="1:8" ht="15.6" x14ac:dyDescent="0.3">
      <c r="A14" s="44" t="s">
        <v>63</v>
      </c>
      <c r="B14" s="9" t="s">
        <v>452</v>
      </c>
      <c r="C14" s="9">
        <v>2.11</v>
      </c>
      <c r="D14" s="9">
        <f>C14*12</f>
        <v>25.32</v>
      </c>
      <c r="E14" s="9">
        <v>0.76</v>
      </c>
      <c r="F14" s="9">
        <f>0.76*12</f>
        <v>9.120000000000001</v>
      </c>
      <c r="G14" s="9" t="s">
        <v>52</v>
      </c>
      <c r="H14" s="9">
        <v>0.12</v>
      </c>
    </row>
    <row r="15" spans="1:8" ht="15.6" x14ac:dyDescent="0.3">
      <c r="A15" s="44" t="s">
        <v>453</v>
      </c>
      <c r="B15" s="9" t="s">
        <v>581</v>
      </c>
      <c r="C15" s="9">
        <v>2.15</v>
      </c>
      <c r="D15" s="9">
        <f>C15*16</f>
        <v>34.4</v>
      </c>
      <c r="E15" s="9">
        <f>0.86</f>
        <v>0.86</v>
      </c>
      <c r="F15" s="9">
        <f>0.85*16</f>
        <v>13.6</v>
      </c>
      <c r="G15" s="9" t="s">
        <v>52</v>
      </c>
      <c r="H15" s="9">
        <v>0.16</v>
      </c>
    </row>
    <row r="16" spans="1:8" ht="15.6" x14ac:dyDescent="0.3">
      <c r="A16" s="9">
        <v>7</v>
      </c>
      <c r="B16" s="9" t="s">
        <v>582</v>
      </c>
      <c r="C16" s="9"/>
      <c r="D16" s="9"/>
      <c r="E16" s="9"/>
      <c r="F16" s="9"/>
      <c r="G16" s="9" t="s">
        <v>52</v>
      </c>
      <c r="H16" s="9">
        <v>0.4</v>
      </c>
    </row>
    <row r="17" spans="1:8" ht="15.6" x14ac:dyDescent="0.3">
      <c r="A17" s="44" t="s">
        <v>583</v>
      </c>
      <c r="B17" s="9" t="s">
        <v>587</v>
      </c>
      <c r="C17" s="9">
        <v>0.96</v>
      </c>
      <c r="D17" s="9">
        <f>C17*6</f>
        <v>5.76</v>
      </c>
      <c r="E17" s="9">
        <v>0.39</v>
      </c>
      <c r="F17" s="9">
        <f>E17*6</f>
        <v>2.34</v>
      </c>
      <c r="G17" s="9" t="s">
        <v>52</v>
      </c>
      <c r="H17" s="9">
        <v>0.06</v>
      </c>
    </row>
    <row r="18" spans="1:8" ht="15.6" x14ac:dyDescent="0.3">
      <c r="A18" s="44" t="s">
        <v>584</v>
      </c>
      <c r="B18" s="9" t="s">
        <v>588</v>
      </c>
      <c r="C18" s="9">
        <v>0.78</v>
      </c>
      <c r="D18" s="9">
        <f>C18*4</f>
        <v>3.12</v>
      </c>
      <c r="E18" s="9">
        <v>0.27</v>
      </c>
      <c r="F18" s="9">
        <f>E18*4</f>
        <v>1.08</v>
      </c>
      <c r="G18" s="9" t="s">
        <v>52</v>
      </c>
      <c r="H18" s="9">
        <v>0.04</v>
      </c>
    </row>
    <row r="19" spans="1:8" ht="15.6" x14ac:dyDescent="0.3">
      <c r="A19" s="44" t="s">
        <v>585</v>
      </c>
      <c r="B19" s="9" t="s">
        <v>589</v>
      </c>
      <c r="C19" s="9">
        <v>1.18</v>
      </c>
      <c r="D19" s="9">
        <f>C19*12</f>
        <v>14.16</v>
      </c>
      <c r="E19" s="9">
        <v>0.26</v>
      </c>
      <c r="F19" s="9">
        <f>E19*12</f>
        <v>3.12</v>
      </c>
      <c r="G19" s="9" t="s">
        <v>52</v>
      </c>
      <c r="H19" s="9">
        <v>0.12</v>
      </c>
    </row>
    <row r="20" spans="1:8" ht="15.6" x14ac:dyDescent="0.3">
      <c r="A20" s="44" t="s">
        <v>586</v>
      </c>
      <c r="B20" s="9" t="s">
        <v>590</v>
      </c>
      <c r="C20" s="9">
        <v>0.88</v>
      </c>
      <c r="D20" s="9">
        <f>C20*18</f>
        <v>15.84</v>
      </c>
      <c r="E20" s="9">
        <v>0.19</v>
      </c>
      <c r="F20" s="9">
        <f>E20*18</f>
        <v>3.42</v>
      </c>
      <c r="G20" s="9" t="s">
        <v>52</v>
      </c>
      <c r="H20" s="9">
        <v>0.18</v>
      </c>
    </row>
    <row r="21" spans="1:8" ht="15.6" x14ac:dyDescent="0.3">
      <c r="A21" s="44" t="s">
        <v>62</v>
      </c>
      <c r="B21" s="9" t="s">
        <v>591</v>
      </c>
      <c r="C21" s="9"/>
      <c r="D21" s="9"/>
      <c r="E21" s="9"/>
      <c r="F21" s="9"/>
      <c r="G21" s="9" t="s">
        <v>52</v>
      </c>
      <c r="H21" s="9">
        <v>0.54</v>
      </c>
    </row>
    <row r="22" spans="1:8" ht="15.6" x14ac:dyDescent="0.3">
      <c r="A22" s="44" t="s">
        <v>605</v>
      </c>
      <c r="B22" s="9" t="s">
        <v>592</v>
      </c>
      <c r="C22" s="9">
        <v>2.38</v>
      </c>
      <c r="D22" s="9">
        <f>C22*28</f>
        <v>66.64</v>
      </c>
      <c r="E22" s="9">
        <v>0.81</v>
      </c>
      <c r="F22" s="9">
        <f>E22*28</f>
        <v>22.68</v>
      </c>
      <c r="G22" s="9" t="s">
        <v>52</v>
      </c>
      <c r="H22" s="9">
        <v>0.28000000000000003</v>
      </c>
    </row>
    <row r="23" spans="1:8" ht="15.6" x14ac:dyDescent="0.3">
      <c r="A23" s="44" t="s">
        <v>606</v>
      </c>
      <c r="B23" s="9" t="s">
        <v>593</v>
      </c>
      <c r="C23" s="9">
        <v>2.38</v>
      </c>
      <c r="D23" s="9">
        <f>C23*26</f>
        <v>61.879999999999995</v>
      </c>
      <c r="E23" s="9">
        <v>0.54</v>
      </c>
      <c r="F23" s="9">
        <f>E23*26</f>
        <v>14.040000000000001</v>
      </c>
      <c r="G23" s="9" t="s">
        <v>52</v>
      </c>
      <c r="H23" s="9">
        <v>0.26</v>
      </c>
    </row>
    <row r="24" spans="1:8" ht="15.6" x14ac:dyDescent="0.3">
      <c r="A24" s="9">
        <v>9</v>
      </c>
      <c r="B24" s="9" t="s">
        <v>454</v>
      </c>
      <c r="C24" s="9"/>
      <c r="D24" s="9"/>
      <c r="E24" s="9"/>
      <c r="F24" s="9"/>
      <c r="G24" s="9" t="s">
        <v>64</v>
      </c>
      <c r="H24" s="9">
        <v>0.04</v>
      </c>
    </row>
    <row r="25" spans="1:8" ht="15.6" x14ac:dyDescent="0.3">
      <c r="A25" s="9">
        <v>10</v>
      </c>
      <c r="B25" s="9" t="s">
        <v>455</v>
      </c>
      <c r="C25" s="9"/>
      <c r="D25" s="9"/>
      <c r="E25" s="9"/>
      <c r="F25" s="9"/>
      <c r="G25" s="9" t="s">
        <v>50</v>
      </c>
      <c r="H25" s="9">
        <v>10.96</v>
      </c>
    </row>
    <row r="26" spans="1:8" ht="15.6" x14ac:dyDescent="0.3">
      <c r="A26" s="9">
        <v>11</v>
      </c>
      <c r="B26" s="9" t="s">
        <v>456</v>
      </c>
      <c r="C26" s="9"/>
      <c r="D26" s="9"/>
      <c r="E26" s="9"/>
      <c r="F26" s="9"/>
      <c r="G26" s="9" t="s">
        <v>50</v>
      </c>
      <c r="H26" s="9">
        <v>10.96</v>
      </c>
    </row>
    <row r="27" spans="1:8" s="22" customFormat="1" ht="15.6" x14ac:dyDescent="0.3">
      <c r="A27" s="9">
        <v>12</v>
      </c>
      <c r="B27" s="9" t="s">
        <v>457</v>
      </c>
      <c r="C27" s="9"/>
      <c r="D27" s="9"/>
      <c r="E27" s="9"/>
      <c r="F27" s="9"/>
      <c r="G27" s="9" t="s">
        <v>76</v>
      </c>
      <c r="H27" s="9">
        <v>0.73</v>
      </c>
    </row>
    <row r="28" spans="1:8" s="22" customFormat="1" ht="15.6" x14ac:dyDescent="0.3">
      <c r="A28" s="9">
        <v>13</v>
      </c>
      <c r="B28" s="9" t="s">
        <v>522</v>
      </c>
      <c r="C28" s="9"/>
      <c r="D28" s="9"/>
      <c r="E28" s="9"/>
      <c r="F28" s="9"/>
      <c r="G28" s="9" t="s">
        <v>76</v>
      </c>
      <c r="H28" s="9">
        <v>0.73</v>
      </c>
    </row>
    <row r="29" spans="1:8" s="22" customFormat="1" ht="15.6" x14ac:dyDescent="0.3">
      <c r="A29" s="9">
        <v>14</v>
      </c>
      <c r="B29" s="9" t="s">
        <v>140</v>
      </c>
      <c r="C29" s="9"/>
      <c r="D29" s="9"/>
      <c r="E29" s="9"/>
      <c r="F29" s="9"/>
      <c r="G29" s="9" t="s">
        <v>76</v>
      </c>
      <c r="H29" s="9">
        <v>2.04</v>
      </c>
    </row>
    <row r="30" spans="1:8" ht="15.6" x14ac:dyDescent="0.3">
      <c r="A30" s="112" t="s">
        <v>79</v>
      </c>
      <c r="B30" s="113"/>
      <c r="C30" s="113"/>
      <c r="D30" s="113"/>
      <c r="E30" s="113"/>
      <c r="F30" s="113"/>
      <c r="G30" s="113"/>
      <c r="H30" s="114"/>
    </row>
    <row r="31" spans="1:8" ht="15.6" x14ac:dyDescent="0.3">
      <c r="A31" s="9">
        <v>15</v>
      </c>
      <c r="B31" s="9" t="s">
        <v>458</v>
      </c>
      <c r="C31" s="9"/>
      <c r="D31" s="9"/>
      <c r="E31" s="9"/>
      <c r="F31" s="9"/>
      <c r="G31" s="9" t="s">
        <v>76</v>
      </c>
      <c r="H31" s="9">
        <v>3.46</v>
      </c>
    </row>
    <row r="32" spans="1:8" ht="15.6" x14ac:dyDescent="0.3">
      <c r="A32" s="9">
        <v>16</v>
      </c>
      <c r="B32" s="9" t="s">
        <v>84</v>
      </c>
      <c r="C32" s="9"/>
      <c r="D32" s="9"/>
      <c r="E32" s="9"/>
      <c r="F32" s="9"/>
      <c r="G32" s="9" t="s">
        <v>76</v>
      </c>
      <c r="H32" s="9">
        <v>0.89</v>
      </c>
    </row>
    <row r="33" spans="1:8" ht="15.6" x14ac:dyDescent="0.3">
      <c r="A33" s="9">
        <v>17</v>
      </c>
      <c r="B33" s="9" t="s">
        <v>87</v>
      </c>
      <c r="C33" s="9"/>
      <c r="D33" s="9"/>
      <c r="E33" s="9"/>
      <c r="F33" s="9"/>
      <c r="G33" s="9" t="s">
        <v>31</v>
      </c>
      <c r="H33" s="9">
        <v>0.12</v>
      </c>
    </row>
    <row r="34" spans="1:8" ht="15.6" x14ac:dyDescent="0.3">
      <c r="A34" s="9">
        <v>18</v>
      </c>
      <c r="B34" s="9" t="s">
        <v>90</v>
      </c>
      <c r="C34" s="9"/>
      <c r="D34" s="9"/>
      <c r="E34" s="9"/>
      <c r="F34" s="9"/>
      <c r="G34" s="9" t="s">
        <v>64</v>
      </c>
      <c r="H34" s="9">
        <v>0.05</v>
      </c>
    </row>
    <row r="35" spans="1:8" ht="15.6" x14ac:dyDescent="0.3">
      <c r="A35" s="112" t="s">
        <v>92</v>
      </c>
      <c r="B35" s="113"/>
      <c r="C35" s="113"/>
      <c r="D35" s="113"/>
      <c r="E35" s="113"/>
      <c r="F35" s="113"/>
      <c r="G35" s="113"/>
      <c r="H35" s="114"/>
    </row>
    <row r="36" spans="1:8" ht="15.6" x14ac:dyDescent="0.3">
      <c r="A36" s="112" t="s">
        <v>93</v>
      </c>
      <c r="B36" s="113"/>
      <c r="C36" s="113"/>
      <c r="D36" s="113"/>
      <c r="E36" s="113"/>
      <c r="F36" s="113"/>
      <c r="G36" s="113"/>
      <c r="H36" s="114"/>
    </row>
    <row r="37" spans="1:8" ht="31.2" x14ac:dyDescent="0.3">
      <c r="A37" s="9">
        <v>19</v>
      </c>
      <c r="B37" s="9" t="s">
        <v>95</v>
      </c>
      <c r="C37" s="9"/>
      <c r="D37" s="9"/>
      <c r="E37" s="9"/>
      <c r="F37" s="9"/>
      <c r="G37" s="9" t="s">
        <v>50</v>
      </c>
      <c r="H37" s="9">
        <v>73.400000000000006</v>
      </c>
    </row>
    <row r="38" spans="1:8" ht="15.6" x14ac:dyDescent="0.3">
      <c r="A38" s="9">
        <v>20</v>
      </c>
      <c r="B38" s="9" t="s">
        <v>99</v>
      </c>
      <c r="C38" s="9"/>
      <c r="D38" s="9"/>
      <c r="E38" s="9"/>
      <c r="F38" s="9"/>
      <c r="G38" s="9" t="s">
        <v>50</v>
      </c>
      <c r="H38" s="9">
        <v>29.29</v>
      </c>
    </row>
    <row r="39" spans="1:8" ht="15.6" x14ac:dyDescent="0.3">
      <c r="A39" s="9">
        <v>21</v>
      </c>
      <c r="B39" s="9" t="s">
        <v>604</v>
      </c>
      <c r="C39" s="9"/>
      <c r="D39" s="9"/>
      <c r="E39" s="9"/>
      <c r="F39" s="9"/>
      <c r="G39" s="9" t="s">
        <v>52</v>
      </c>
      <c r="H39" s="9">
        <v>0.72</v>
      </c>
    </row>
    <row r="40" spans="1:8" ht="15.6" customHeight="1" x14ac:dyDescent="0.3">
      <c r="A40" s="44" t="s">
        <v>607</v>
      </c>
      <c r="B40" s="9" t="s">
        <v>596</v>
      </c>
      <c r="C40" s="9">
        <v>0.02</v>
      </c>
      <c r="D40" s="9">
        <f>C40*10</f>
        <v>0.2</v>
      </c>
      <c r="E40" s="9">
        <v>8.0000000000000002E-3</v>
      </c>
      <c r="F40" s="9">
        <f>E40*10</f>
        <v>0.08</v>
      </c>
      <c r="G40" s="9" t="s">
        <v>52</v>
      </c>
      <c r="H40" s="9">
        <v>0.1</v>
      </c>
    </row>
    <row r="41" spans="1:8" ht="15.6" customHeight="1" x14ac:dyDescent="0.3">
      <c r="A41" s="44" t="s">
        <v>608</v>
      </c>
      <c r="B41" s="9" t="s">
        <v>594</v>
      </c>
      <c r="C41" s="9">
        <v>8.5000000000000006E-2</v>
      </c>
      <c r="D41" s="9">
        <f>C41*9</f>
        <v>0.76500000000000001</v>
      </c>
      <c r="E41" s="9">
        <v>3.4000000000000002E-2</v>
      </c>
      <c r="F41" s="9">
        <f>E41*9</f>
        <v>0.30600000000000005</v>
      </c>
      <c r="G41" s="9" t="s">
        <v>52</v>
      </c>
      <c r="H41" s="9">
        <v>0.09</v>
      </c>
    </row>
    <row r="42" spans="1:8" ht="15.6" x14ac:dyDescent="0.3">
      <c r="A42" s="44" t="s">
        <v>609</v>
      </c>
      <c r="B42" s="9" t="s">
        <v>595</v>
      </c>
      <c r="C42" s="9">
        <v>4.2999999999999997E-2</v>
      </c>
      <c r="D42" s="9">
        <f>C42*1</f>
        <v>4.2999999999999997E-2</v>
      </c>
      <c r="E42" s="9">
        <v>1.7000000000000001E-2</v>
      </c>
      <c r="F42" s="9">
        <f>E42*1</f>
        <v>1.7000000000000001E-2</v>
      </c>
      <c r="G42" s="9" t="s">
        <v>52</v>
      </c>
      <c r="H42" s="9">
        <v>0.01</v>
      </c>
    </row>
    <row r="43" spans="1:8" ht="15.6" x14ac:dyDescent="0.3">
      <c r="A43" s="44" t="s">
        <v>610</v>
      </c>
      <c r="B43" s="9" t="s">
        <v>597</v>
      </c>
      <c r="C43" s="9">
        <v>0.109</v>
      </c>
      <c r="D43" s="9">
        <f>C43*12</f>
        <v>1.3080000000000001</v>
      </c>
      <c r="E43" s="9">
        <v>4.3999999999999997E-2</v>
      </c>
      <c r="F43" s="9">
        <f>0.044*12</f>
        <v>0.52800000000000002</v>
      </c>
      <c r="G43" s="9" t="s">
        <v>52</v>
      </c>
      <c r="H43" s="9">
        <v>0.12</v>
      </c>
    </row>
    <row r="44" spans="1:8" ht="15.6" x14ac:dyDescent="0.3">
      <c r="A44" s="44" t="s">
        <v>611</v>
      </c>
      <c r="B44" s="9" t="s">
        <v>598</v>
      </c>
      <c r="C44" s="9">
        <v>4.2999999999999997E-2</v>
      </c>
      <c r="D44" s="9">
        <f>C44*1</f>
        <v>4.2999999999999997E-2</v>
      </c>
      <c r="E44" s="9">
        <v>1.7000000000000001E-2</v>
      </c>
      <c r="F44" s="9">
        <f>E44*1</f>
        <v>1.7000000000000001E-2</v>
      </c>
      <c r="G44" s="9" t="s">
        <v>52</v>
      </c>
      <c r="H44" s="9">
        <v>0.01</v>
      </c>
    </row>
    <row r="45" spans="1:8" ht="15.6" x14ac:dyDescent="0.3">
      <c r="A45" s="9">
        <v>22</v>
      </c>
      <c r="B45" s="9" t="s">
        <v>599</v>
      </c>
      <c r="C45" s="9">
        <v>1.1000000000000001</v>
      </c>
      <c r="D45" s="9">
        <f>1.1*8</f>
        <v>8.8000000000000007</v>
      </c>
      <c r="E45" s="9">
        <v>0.44</v>
      </c>
      <c r="F45" s="9">
        <f>0.44*8</f>
        <v>3.52</v>
      </c>
      <c r="G45" s="9" t="s">
        <v>52</v>
      </c>
      <c r="H45" s="9">
        <v>0.08</v>
      </c>
    </row>
    <row r="46" spans="1:8" ht="15.6" x14ac:dyDescent="0.3">
      <c r="A46" s="9">
        <v>23</v>
      </c>
      <c r="B46" s="9" t="s">
        <v>600</v>
      </c>
      <c r="C46" s="9">
        <v>1.8</v>
      </c>
      <c r="D46" s="9">
        <f>1.8*16</f>
        <v>28.8</v>
      </c>
      <c r="E46" s="9">
        <v>0.72</v>
      </c>
      <c r="F46" s="9">
        <f>E46*16</f>
        <v>11.52</v>
      </c>
      <c r="G46" s="9" t="s">
        <v>52</v>
      </c>
      <c r="H46" s="9">
        <v>0.16</v>
      </c>
    </row>
    <row r="47" spans="1:8" ht="15.6" x14ac:dyDescent="0.3">
      <c r="A47" s="9">
        <v>24</v>
      </c>
      <c r="B47" s="9" t="s">
        <v>104</v>
      </c>
      <c r="C47" s="9"/>
      <c r="D47" s="9"/>
      <c r="E47" s="9">
        <v>2.4700000000000002</v>
      </c>
      <c r="F47" s="9">
        <f>E47*1</f>
        <v>2.4700000000000002</v>
      </c>
      <c r="G47" s="9" t="s">
        <v>64</v>
      </c>
      <c r="H47" s="9">
        <v>0.05</v>
      </c>
    </row>
    <row r="48" spans="1:8" ht="15.6" x14ac:dyDescent="0.3">
      <c r="A48" s="112" t="s">
        <v>461</v>
      </c>
      <c r="B48" s="113"/>
      <c r="C48" s="113"/>
      <c r="D48" s="113"/>
      <c r="E48" s="113"/>
      <c r="F48" s="113"/>
      <c r="G48" s="113"/>
      <c r="H48" s="114"/>
    </row>
    <row r="49" spans="1:8" ht="15.6" x14ac:dyDescent="0.3">
      <c r="A49" s="9">
        <v>25</v>
      </c>
      <c r="B49" s="9" t="s">
        <v>111</v>
      </c>
      <c r="C49" s="9"/>
      <c r="D49" s="9"/>
      <c r="E49" s="9"/>
      <c r="F49" s="9"/>
      <c r="G49" s="9" t="s">
        <v>76</v>
      </c>
      <c r="H49" s="9">
        <v>0.23</v>
      </c>
    </row>
    <row r="50" spans="1:8" ht="15.6" x14ac:dyDescent="0.3">
      <c r="A50" s="112" t="s">
        <v>114</v>
      </c>
      <c r="B50" s="113"/>
      <c r="C50" s="113"/>
      <c r="D50" s="113"/>
      <c r="E50" s="113"/>
      <c r="F50" s="113"/>
      <c r="G50" s="113"/>
      <c r="H50" s="114"/>
    </row>
    <row r="51" spans="1:8" ht="15.6" x14ac:dyDescent="0.3">
      <c r="A51" s="9">
        <v>26</v>
      </c>
      <c r="B51" s="9" t="s">
        <v>117</v>
      </c>
      <c r="C51" s="9"/>
      <c r="D51" s="9"/>
      <c r="E51" s="9"/>
      <c r="F51" s="9"/>
      <c r="G51" s="9" t="s">
        <v>50</v>
      </c>
      <c r="H51" s="9">
        <v>4.4400000000000004</v>
      </c>
    </row>
    <row r="52" spans="1:8" ht="15.6" x14ac:dyDescent="0.3">
      <c r="A52" s="9">
        <v>27</v>
      </c>
      <c r="B52" s="9" t="s">
        <v>123</v>
      </c>
      <c r="C52" s="9"/>
      <c r="D52" s="9"/>
      <c r="E52" s="9"/>
      <c r="F52" s="9"/>
      <c r="G52" s="9" t="s">
        <v>76</v>
      </c>
      <c r="H52" s="9">
        <v>1.5</v>
      </c>
    </row>
    <row r="53" spans="1:8" ht="15.6" x14ac:dyDescent="0.3">
      <c r="A53" s="9">
        <v>28</v>
      </c>
      <c r="B53" s="9" t="s">
        <v>120</v>
      </c>
      <c r="C53" s="9"/>
      <c r="D53" s="9"/>
      <c r="E53" s="9"/>
      <c r="F53" s="9"/>
      <c r="G53" s="9" t="s">
        <v>76</v>
      </c>
      <c r="H53" s="9">
        <v>1.5</v>
      </c>
    </row>
    <row r="54" spans="1:8" ht="15.6" x14ac:dyDescent="0.3">
      <c r="A54" s="9">
        <v>29</v>
      </c>
      <c r="B54" s="9" t="s">
        <v>601</v>
      </c>
      <c r="C54" s="9"/>
      <c r="D54" s="9"/>
      <c r="E54" s="9"/>
      <c r="F54" s="9"/>
      <c r="G54" s="9" t="s">
        <v>76</v>
      </c>
      <c r="H54" s="9">
        <v>5.04</v>
      </c>
    </row>
    <row r="55" spans="1:8" ht="15.6" x14ac:dyDescent="0.3">
      <c r="A55" s="9">
        <v>30</v>
      </c>
      <c r="B55" s="9" t="s">
        <v>511</v>
      </c>
      <c r="C55" s="9"/>
      <c r="D55" s="9"/>
      <c r="E55" s="9"/>
      <c r="F55" s="9"/>
      <c r="G55" s="9" t="s">
        <v>107</v>
      </c>
      <c r="H55" s="9">
        <v>5.54</v>
      </c>
    </row>
    <row r="56" spans="1:8" ht="15.6" x14ac:dyDescent="0.3">
      <c r="A56" s="9">
        <v>31</v>
      </c>
      <c r="B56" s="9" t="s">
        <v>513</v>
      </c>
      <c r="C56" s="9"/>
      <c r="D56" s="9"/>
      <c r="E56" s="9"/>
      <c r="F56" s="9"/>
      <c r="G56" s="9" t="s">
        <v>107</v>
      </c>
      <c r="H56" s="9">
        <v>34.15</v>
      </c>
    </row>
    <row r="57" spans="1:8" ht="15.6" x14ac:dyDescent="0.3">
      <c r="A57" s="9">
        <v>32</v>
      </c>
      <c r="B57" s="9" t="s">
        <v>106</v>
      </c>
      <c r="C57" s="9"/>
      <c r="D57" s="9"/>
      <c r="E57" s="9"/>
      <c r="F57" s="9"/>
      <c r="G57" s="9" t="s">
        <v>107</v>
      </c>
      <c r="H57" s="9">
        <v>34.15</v>
      </c>
    </row>
    <row r="58" spans="1:8" ht="15.6" x14ac:dyDescent="0.3">
      <c r="A58" s="112" t="s">
        <v>126</v>
      </c>
      <c r="B58" s="113"/>
      <c r="C58" s="113"/>
      <c r="D58" s="113"/>
      <c r="E58" s="113"/>
      <c r="F58" s="113"/>
      <c r="G58" s="113"/>
      <c r="H58" s="114"/>
    </row>
    <row r="59" spans="1:8" ht="31.2" x14ac:dyDescent="0.3">
      <c r="A59" s="9">
        <v>33</v>
      </c>
      <c r="B59" s="9" t="s">
        <v>127</v>
      </c>
      <c r="C59" s="9"/>
      <c r="D59" s="9"/>
      <c r="E59" s="9"/>
      <c r="F59" s="9"/>
      <c r="G59" s="9" t="s">
        <v>76</v>
      </c>
      <c r="H59" s="9">
        <v>0.17</v>
      </c>
    </row>
    <row r="60" spans="1:8" ht="31.2" x14ac:dyDescent="0.3">
      <c r="A60" s="9" t="s">
        <v>612</v>
      </c>
      <c r="B60" s="9" t="s">
        <v>602</v>
      </c>
      <c r="C60" s="9"/>
      <c r="D60" s="9"/>
      <c r="E60" s="9"/>
      <c r="F60" s="9"/>
      <c r="G60" s="9" t="s">
        <v>135</v>
      </c>
      <c r="H60" s="9">
        <v>15</v>
      </c>
    </row>
    <row r="61" spans="1:8" ht="15.6" x14ac:dyDescent="0.3">
      <c r="A61" s="9">
        <v>34</v>
      </c>
      <c r="B61" s="9" t="s">
        <v>129</v>
      </c>
      <c r="C61" s="9"/>
      <c r="D61" s="9"/>
      <c r="E61" s="9"/>
      <c r="F61" s="9"/>
      <c r="G61" s="9" t="s">
        <v>76</v>
      </c>
      <c r="H61" s="9">
        <v>0.22</v>
      </c>
    </row>
    <row r="62" spans="1:8" ht="31.2" x14ac:dyDescent="0.3">
      <c r="A62" s="9" t="s">
        <v>613</v>
      </c>
      <c r="B62" s="9" t="s">
        <v>603</v>
      </c>
      <c r="C62" s="9"/>
      <c r="D62" s="9"/>
      <c r="E62" s="9"/>
      <c r="F62" s="9"/>
      <c r="G62" s="9" t="s">
        <v>135</v>
      </c>
      <c r="H62" s="9">
        <v>11</v>
      </c>
    </row>
    <row r="63" spans="1:8" ht="15.6" x14ac:dyDescent="0.3">
      <c r="A63" s="115" t="s">
        <v>134</v>
      </c>
      <c r="B63" s="116"/>
      <c r="C63" s="116"/>
      <c r="D63" s="116"/>
      <c r="E63" s="116"/>
      <c r="F63" s="116"/>
      <c r="G63" s="116"/>
      <c r="H63" s="117"/>
    </row>
    <row r="64" spans="1:8" ht="15.6" x14ac:dyDescent="0.3">
      <c r="A64" s="115" t="s">
        <v>462</v>
      </c>
      <c r="B64" s="116"/>
      <c r="C64" s="116"/>
      <c r="D64" s="116"/>
      <c r="E64" s="116"/>
      <c r="F64" s="116"/>
      <c r="G64" s="116"/>
      <c r="H64" s="117"/>
    </row>
    <row r="65" spans="1:8" ht="15.6" x14ac:dyDescent="0.3">
      <c r="A65" s="9">
        <v>35</v>
      </c>
      <c r="B65" s="9" t="s">
        <v>137</v>
      </c>
      <c r="C65" s="9"/>
      <c r="D65" s="9"/>
      <c r="E65" s="9"/>
      <c r="F65" s="9"/>
      <c r="G65" s="9" t="s">
        <v>76</v>
      </c>
      <c r="H65" s="9">
        <v>0.31</v>
      </c>
    </row>
    <row r="66" spans="1:8" ht="15.6" x14ac:dyDescent="0.3">
      <c r="A66" s="9">
        <v>36</v>
      </c>
      <c r="B66" s="9" t="s">
        <v>522</v>
      </c>
      <c r="C66" s="9"/>
      <c r="D66" s="9"/>
      <c r="E66" s="9"/>
      <c r="F66" s="9"/>
      <c r="G66" s="9" t="s">
        <v>76</v>
      </c>
      <c r="H66" s="9">
        <v>1.32</v>
      </c>
    </row>
    <row r="67" spans="1:8" ht="15.6" x14ac:dyDescent="0.3">
      <c r="A67" s="9">
        <v>37</v>
      </c>
      <c r="B67" s="9" t="s">
        <v>140</v>
      </c>
      <c r="C67" s="9"/>
      <c r="D67" s="9"/>
      <c r="E67" s="9"/>
      <c r="F67" s="9"/>
      <c r="G67" s="9" t="s">
        <v>76</v>
      </c>
      <c r="H67" s="9">
        <v>2.13</v>
      </c>
    </row>
    <row r="68" spans="1:8" ht="15.6" x14ac:dyDescent="0.3">
      <c r="A68" s="9">
        <v>38</v>
      </c>
      <c r="B68" s="9" t="s">
        <v>529</v>
      </c>
      <c r="C68" s="9"/>
      <c r="D68" s="9"/>
      <c r="E68" s="9"/>
      <c r="F68" s="9"/>
      <c r="G68" s="9" t="s">
        <v>76</v>
      </c>
      <c r="H68" s="9">
        <v>2.13</v>
      </c>
    </row>
    <row r="69" spans="1:8" ht="15.6" x14ac:dyDescent="0.3">
      <c r="A69" s="112" t="s">
        <v>143</v>
      </c>
      <c r="B69" s="113"/>
      <c r="C69" s="113"/>
      <c r="D69" s="113"/>
      <c r="E69" s="113"/>
      <c r="F69" s="113"/>
      <c r="G69" s="113"/>
      <c r="H69" s="114"/>
    </row>
    <row r="70" spans="1:8" ht="15.6" x14ac:dyDescent="0.3">
      <c r="A70" s="9">
        <v>39</v>
      </c>
      <c r="B70" s="9" t="s">
        <v>144</v>
      </c>
      <c r="C70" s="9"/>
      <c r="D70" s="9"/>
      <c r="E70" s="9"/>
      <c r="F70" s="9"/>
      <c r="G70" s="9" t="s">
        <v>76</v>
      </c>
      <c r="H70" s="9">
        <v>1.9</v>
      </c>
    </row>
    <row r="71" spans="1:8" ht="15.6" x14ac:dyDescent="0.3">
      <c r="A71" s="9">
        <v>40</v>
      </c>
      <c r="B71" s="9" t="s">
        <v>147</v>
      </c>
      <c r="C71" s="9"/>
      <c r="D71" s="9"/>
      <c r="E71" s="9"/>
      <c r="F71" s="9"/>
      <c r="G71" s="9" t="s">
        <v>76</v>
      </c>
      <c r="H71" s="9">
        <v>1.3</v>
      </c>
    </row>
    <row r="72" spans="1:8" ht="15.6" customHeight="1" x14ac:dyDescent="0.3">
      <c r="A72" s="9">
        <v>41</v>
      </c>
      <c r="B72" s="9" t="s">
        <v>145</v>
      </c>
      <c r="C72" s="9"/>
      <c r="D72" s="9"/>
      <c r="E72" s="9"/>
      <c r="F72" s="9"/>
      <c r="G72" s="9" t="s">
        <v>76</v>
      </c>
      <c r="H72" s="9">
        <v>0.08</v>
      </c>
    </row>
    <row r="73" spans="1:8" ht="15.6" x14ac:dyDescent="0.3">
      <c r="A73" s="112" t="s">
        <v>148</v>
      </c>
      <c r="B73" s="113"/>
      <c r="C73" s="113"/>
      <c r="D73" s="113"/>
      <c r="E73" s="113"/>
      <c r="F73" s="113"/>
      <c r="G73" s="113"/>
      <c r="H73" s="114"/>
    </row>
    <row r="74" spans="1:8" ht="15.6" x14ac:dyDescent="0.3">
      <c r="A74" s="9">
        <v>42</v>
      </c>
      <c r="B74" s="9" t="s">
        <v>537</v>
      </c>
      <c r="C74" s="9"/>
      <c r="D74" s="9"/>
      <c r="E74" s="9"/>
      <c r="F74" s="9"/>
      <c r="G74" s="9" t="s">
        <v>76</v>
      </c>
      <c r="H74" s="9">
        <v>1.9</v>
      </c>
    </row>
    <row r="75" spans="1:8" ht="15.6" x14ac:dyDescent="0.3">
      <c r="A75" s="9">
        <v>43</v>
      </c>
      <c r="B75" s="9" t="s">
        <v>540</v>
      </c>
      <c r="C75" s="9"/>
      <c r="D75" s="9"/>
      <c r="E75" s="9"/>
      <c r="F75" s="9"/>
      <c r="G75" s="9" t="s">
        <v>76</v>
      </c>
      <c r="H75" s="9">
        <v>1.3</v>
      </c>
    </row>
    <row r="76" spans="1:8" ht="15.6" x14ac:dyDescent="0.3">
      <c r="A76" s="112" t="s">
        <v>151</v>
      </c>
      <c r="B76" s="113"/>
      <c r="C76" s="113"/>
      <c r="D76" s="113"/>
      <c r="E76" s="113"/>
      <c r="F76" s="113"/>
      <c r="G76" s="113"/>
      <c r="H76" s="114"/>
    </row>
    <row r="77" spans="1:8" ht="15.6" x14ac:dyDescent="0.3">
      <c r="A77" s="9">
        <v>44</v>
      </c>
      <c r="B77" s="9" t="s">
        <v>542</v>
      </c>
      <c r="C77" s="9"/>
      <c r="D77" s="9"/>
      <c r="E77" s="9"/>
      <c r="F77" s="9"/>
      <c r="G77" s="9" t="s">
        <v>76</v>
      </c>
      <c r="H77" s="9">
        <v>0.08</v>
      </c>
    </row>
    <row r="78" spans="1:8" ht="15.6" x14ac:dyDescent="0.3">
      <c r="A78" s="9">
        <v>45</v>
      </c>
      <c r="B78" s="9" t="s">
        <v>546</v>
      </c>
      <c r="C78" s="9"/>
      <c r="D78" s="9"/>
      <c r="E78" s="9"/>
      <c r="F78" s="9"/>
      <c r="G78" s="9" t="s">
        <v>76</v>
      </c>
      <c r="H78" s="9">
        <v>0.08</v>
      </c>
    </row>
    <row r="79" spans="1:8" ht="15.6" customHeight="1" x14ac:dyDescent="0.3">
      <c r="A79" s="112" t="s">
        <v>153</v>
      </c>
      <c r="B79" s="113"/>
      <c r="C79" s="113"/>
      <c r="D79" s="113"/>
      <c r="E79" s="113"/>
      <c r="F79" s="113"/>
      <c r="G79" s="113"/>
      <c r="H79" s="114"/>
    </row>
    <row r="80" spans="1:8" ht="15.6" x14ac:dyDescent="0.3">
      <c r="A80" s="9">
        <v>46</v>
      </c>
      <c r="B80" s="9" t="s">
        <v>154</v>
      </c>
      <c r="C80" s="9"/>
      <c r="D80" s="9"/>
      <c r="E80" s="9"/>
      <c r="F80" s="9"/>
      <c r="G80" s="9" t="s">
        <v>76</v>
      </c>
      <c r="H80" s="9">
        <v>1.3</v>
      </c>
    </row>
    <row r="81" spans="1:8" ht="15.6" x14ac:dyDescent="0.3">
      <c r="A81" s="9">
        <v>47</v>
      </c>
      <c r="B81" s="9" t="s">
        <v>156</v>
      </c>
      <c r="C81" s="9"/>
      <c r="D81" s="9"/>
      <c r="E81" s="9"/>
      <c r="F81" s="9"/>
      <c r="G81" s="9" t="s">
        <v>76</v>
      </c>
      <c r="H81" s="9">
        <v>3.07</v>
      </c>
    </row>
    <row r="82" spans="1:8" ht="15.6" x14ac:dyDescent="0.3">
      <c r="A82" s="112" t="s">
        <v>547</v>
      </c>
      <c r="B82" s="113"/>
      <c r="C82" s="113"/>
      <c r="D82" s="113"/>
      <c r="E82" s="113"/>
      <c r="F82" s="113"/>
      <c r="G82" s="113"/>
      <c r="H82" s="114"/>
    </row>
    <row r="83" spans="1:8" ht="15.6" x14ac:dyDescent="0.3">
      <c r="A83" s="9">
        <v>48</v>
      </c>
      <c r="B83" s="9" t="s">
        <v>548</v>
      </c>
      <c r="C83" s="9"/>
      <c r="D83" s="9"/>
      <c r="E83" s="9"/>
      <c r="F83" s="9"/>
      <c r="G83" s="9" t="s">
        <v>76</v>
      </c>
      <c r="H83" s="9">
        <v>1.18</v>
      </c>
    </row>
    <row r="84" spans="1:8" ht="31.2" x14ac:dyDescent="0.3">
      <c r="A84" s="67" t="s">
        <v>615</v>
      </c>
      <c r="B84" s="9" t="s">
        <v>614</v>
      </c>
      <c r="C84" s="66"/>
      <c r="D84" s="66"/>
      <c r="E84" s="66"/>
      <c r="F84" s="66"/>
      <c r="G84" s="9" t="s">
        <v>53</v>
      </c>
      <c r="H84" s="9">
        <v>118</v>
      </c>
    </row>
    <row r="85" spans="1:8" ht="15.6" customHeight="1" x14ac:dyDescent="0.3"/>
    <row r="93" spans="1:8" ht="15.6" customHeight="1" x14ac:dyDescent="0.3"/>
    <row r="96" spans="1:8" ht="15.6" customHeight="1" x14ac:dyDescent="0.3"/>
  </sheetData>
  <mergeCells count="16">
    <mergeCell ref="A36:H36"/>
    <mergeCell ref="A2:H2"/>
    <mergeCell ref="A3:H3"/>
    <mergeCell ref="A7:H7"/>
    <mergeCell ref="A30:H30"/>
    <mergeCell ref="A35:H35"/>
    <mergeCell ref="A82:H82"/>
    <mergeCell ref="A73:H73"/>
    <mergeCell ref="A76:H76"/>
    <mergeCell ref="A79:H79"/>
    <mergeCell ref="A48:H48"/>
    <mergeCell ref="A50:H50"/>
    <mergeCell ref="A58:H58"/>
    <mergeCell ref="A64:H64"/>
    <mergeCell ref="A63:H63"/>
    <mergeCell ref="A69:H69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95"/>
  <sheetViews>
    <sheetView tabSelected="1" topLeftCell="A232" zoomScale="70" zoomScaleNormal="70" workbookViewId="0">
      <selection activeCell="K24" sqref="K24"/>
    </sheetView>
  </sheetViews>
  <sheetFormatPr defaultRowHeight="14.4" x14ac:dyDescent="0.3"/>
  <cols>
    <col min="2" max="2" width="1.21875" customWidth="1"/>
    <col min="3" max="3" width="24.6640625" customWidth="1"/>
    <col min="5" max="5" width="19.5546875" customWidth="1"/>
    <col min="6" max="6" width="11" customWidth="1"/>
    <col min="7" max="7" width="16.21875" customWidth="1"/>
    <col min="8" max="8" width="17.21875" customWidth="1"/>
    <col min="9" max="9" width="7.5546875" customWidth="1"/>
    <col min="10" max="10" width="12.33203125" customWidth="1"/>
    <col min="11" max="11" width="12.44140625" bestFit="1" customWidth="1"/>
    <col min="12" max="12" width="16.109375" bestFit="1" customWidth="1"/>
    <col min="13" max="13" width="16.88671875" bestFit="1" customWidth="1"/>
    <col min="14" max="14" width="13.88671875" bestFit="1" customWidth="1"/>
    <col min="15" max="15" width="16.109375" bestFit="1" customWidth="1"/>
    <col min="16" max="16" width="13.88671875" bestFit="1" customWidth="1"/>
    <col min="17" max="17" width="12.6640625" bestFit="1" customWidth="1"/>
    <col min="18" max="18" width="25.44140625" customWidth="1"/>
  </cols>
  <sheetData>
    <row r="1" spans="1:18" ht="15.6" x14ac:dyDescent="0.3">
      <c r="A1" s="146" t="s">
        <v>556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8" ht="15.6" x14ac:dyDescent="0.3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</row>
    <row r="3" spans="1:18" ht="15.6" x14ac:dyDescent="0.3">
      <c r="A3" s="148" t="s">
        <v>570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</row>
    <row r="4" spans="1:18" ht="15.6" x14ac:dyDescent="0.3">
      <c r="A4" s="148" t="s">
        <v>159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</row>
    <row r="5" spans="1:18" ht="15.6" x14ac:dyDescent="0.3">
      <c r="A5" s="149" t="s">
        <v>1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</row>
    <row r="6" spans="1:18" ht="15.6" x14ac:dyDescent="0.3">
      <c r="A6" s="150" t="s">
        <v>2</v>
      </c>
      <c r="B6" s="150"/>
      <c r="C6" s="150"/>
      <c r="D6" s="151" t="s">
        <v>3</v>
      </c>
      <c r="E6" s="151"/>
      <c r="F6" s="71" t="s">
        <v>4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</row>
    <row r="7" spans="1:18" ht="15.6" x14ac:dyDescent="0.3">
      <c r="A7" s="141" t="s">
        <v>5</v>
      </c>
      <c r="B7" s="141"/>
      <c r="C7" s="141"/>
      <c r="D7" s="149" t="s">
        <v>269</v>
      </c>
      <c r="E7" s="149"/>
      <c r="F7" s="149"/>
      <c r="G7" s="149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</row>
    <row r="8" spans="1:18" ht="15.6" x14ac:dyDescent="0.3">
      <c r="A8" s="141"/>
      <c r="B8" s="141"/>
      <c r="C8" s="141"/>
      <c r="D8" s="151"/>
      <c r="E8" s="151"/>
      <c r="F8" s="151"/>
      <c r="G8" s="151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</row>
    <row r="9" spans="1:18" ht="15.6" x14ac:dyDescent="0.3">
      <c r="A9" s="142" t="s">
        <v>6</v>
      </c>
      <c r="B9" s="142"/>
      <c r="C9" s="142"/>
      <c r="D9" s="142"/>
      <c r="E9" s="142"/>
      <c r="F9" s="143" t="s">
        <v>572</v>
      </c>
      <c r="G9" s="143"/>
      <c r="H9" s="144" t="s">
        <v>7</v>
      </c>
      <c r="I9" s="144"/>
      <c r="J9" s="145"/>
      <c r="K9" s="145"/>
      <c r="L9" s="145"/>
      <c r="M9" s="145"/>
      <c r="N9" s="145"/>
      <c r="O9" s="145"/>
      <c r="P9" s="145"/>
      <c r="Q9" s="145"/>
      <c r="R9" s="145"/>
    </row>
    <row r="10" spans="1:18" ht="15.6" x14ac:dyDescent="0.3">
      <c r="A10" s="142" t="s">
        <v>8</v>
      </c>
      <c r="B10" s="142"/>
      <c r="C10" s="142"/>
      <c r="D10" s="142"/>
      <c r="E10" s="142"/>
      <c r="F10" s="154">
        <f>R647/1000</f>
        <v>12696.963433451123</v>
      </c>
      <c r="G10" s="155"/>
      <c r="H10" s="154">
        <f>P647/1000</f>
        <v>751.55890012380007</v>
      </c>
      <c r="I10" s="155"/>
      <c r="J10" s="73" t="s">
        <v>9</v>
      </c>
      <c r="K10" s="73"/>
      <c r="L10" s="73"/>
      <c r="M10" s="73"/>
      <c r="N10" s="73"/>
      <c r="O10" s="156" t="s">
        <v>571</v>
      </c>
      <c r="P10" s="156"/>
      <c r="Q10" s="156" t="s">
        <v>10</v>
      </c>
      <c r="R10" s="156"/>
    </row>
    <row r="11" spans="1:18" ht="15.6" x14ac:dyDescent="0.3">
      <c r="A11" s="72"/>
      <c r="B11" s="142" t="s">
        <v>11</v>
      </c>
      <c r="C11" s="142"/>
      <c r="D11" s="142"/>
      <c r="E11" s="142"/>
      <c r="F11" s="156"/>
      <c r="G11" s="156"/>
      <c r="H11" s="156"/>
      <c r="I11" s="156"/>
      <c r="J11" s="73"/>
      <c r="K11" s="73"/>
      <c r="L11" s="73"/>
      <c r="M11" s="139" t="s">
        <v>12</v>
      </c>
      <c r="N11" s="139"/>
      <c r="O11" s="137">
        <f>(R28+R40+R52+R66+R78+R93+R107+R149+R161+R173+R197+R211+R223+R235+R247+R262+R274+R286+R303+R316+R329+R343+R357+R369+R393+R406+R444+R457+R473+R497+R523+R535+R547+R561+R573+R587+R599+R613++R625+R123+R137+R185+R381+R418+R430+R485+R509+R639)/1000</f>
        <v>1285.9934072211699</v>
      </c>
      <c r="P11" s="137"/>
      <c r="Q11" s="74">
        <f>(P28+P40+P52+P66+P78+P93+P107+P149+P161+P173+P197+P211+P223+P235+P247+P262+P274+P286+P303+P316+P329+P343+P357+P369+P393+P406+P444+P457+P473+P497+P523+P535+P547+P561+P573+P587+P599+P613+P625+P123+P137+P185+P381+P418+P430+P485+P509+P639)/1000</f>
        <v>34.059734809999988</v>
      </c>
      <c r="R11" s="74" t="s">
        <v>164</v>
      </c>
    </row>
    <row r="12" spans="1:18" ht="15.6" x14ac:dyDescent="0.3">
      <c r="A12" s="72"/>
      <c r="B12" s="142" t="s">
        <v>13</v>
      </c>
      <c r="C12" s="142"/>
      <c r="D12" s="142"/>
      <c r="E12" s="142"/>
      <c r="F12" s="154">
        <f>F10</f>
        <v>12696.963433451123</v>
      </c>
      <c r="G12" s="155"/>
      <c r="H12" s="154">
        <f>H10</f>
        <v>751.55890012380007</v>
      </c>
      <c r="I12" s="155"/>
      <c r="J12" s="73" t="s">
        <v>9</v>
      </c>
      <c r="K12" s="73"/>
      <c r="L12" s="73"/>
      <c r="M12" s="139" t="s">
        <v>14</v>
      </c>
      <c r="N12" s="139"/>
      <c r="O12" s="140">
        <f>M25+M37+M49+M63+M75+M90+M104+M120+M134+M146+M158+M170+M182+M194+M208+M220+M232+M244+M259+M271+M283+M300+M313+M326+M340+M354+M366+M378+M390+M403+M415+M544+M427+M441+M454+M470+M482+M494+M506+M520+M532+M558+M570+M584+M596+M610+M622+M636</f>
        <v>3488.1009799999993</v>
      </c>
      <c r="P12" s="140"/>
      <c r="Q12" s="140"/>
      <c r="R12" s="74" t="s">
        <v>262</v>
      </c>
    </row>
    <row r="13" spans="1:18" ht="15.6" x14ac:dyDescent="0.3">
      <c r="A13" s="72"/>
      <c r="B13" s="142" t="s">
        <v>15</v>
      </c>
      <c r="C13" s="142"/>
      <c r="D13" s="142"/>
      <c r="E13" s="142"/>
      <c r="F13" s="152"/>
      <c r="G13" s="152"/>
      <c r="H13" s="152"/>
      <c r="I13" s="152"/>
      <c r="J13" s="73" t="s">
        <v>9</v>
      </c>
      <c r="K13" s="73"/>
      <c r="L13" s="73"/>
      <c r="M13" s="139" t="s">
        <v>16</v>
      </c>
      <c r="N13" s="139"/>
      <c r="O13" s="140">
        <f>M26+M38+M50+M64+M76+M91+M105+M121+M135+M147+M159+M171+M183+M195+M209+M221+M233+M245+M260+M272+M284+M301+M314+M327+M341+M355+M367+M379+M391+M404+M416+M428+M442+M455+M471+M483+M495+M507+M521+M533+M559+M571+M585+M597+M611+M623+M637+M545</f>
        <v>200.57840999999999</v>
      </c>
      <c r="P13" s="140"/>
      <c r="Q13" s="140"/>
      <c r="R13" s="74" t="s">
        <v>263</v>
      </c>
    </row>
    <row r="14" spans="1:18" ht="15.6" x14ac:dyDescent="0.3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</row>
    <row r="15" spans="1:18" ht="15.6" x14ac:dyDescent="0.3">
      <c r="A15" s="122" t="s">
        <v>17</v>
      </c>
      <c r="B15" s="122"/>
      <c r="C15" s="122" t="s">
        <v>18</v>
      </c>
      <c r="D15" s="122" t="s">
        <v>19</v>
      </c>
      <c r="E15" s="122"/>
      <c r="F15" s="122"/>
      <c r="G15" s="122"/>
      <c r="H15" s="122"/>
      <c r="I15" s="122" t="s">
        <v>20</v>
      </c>
      <c r="J15" s="122"/>
      <c r="K15" s="120" t="s">
        <v>21</v>
      </c>
      <c r="L15" s="120"/>
      <c r="M15" s="120"/>
      <c r="N15" s="120" t="s">
        <v>22</v>
      </c>
      <c r="O15" s="120"/>
      <c r="P15" s="120"/>
      <c r="Q15" s="122" t="s">
        <v>23</v>
      </c>
      <c r="R15" s="122" t="s">
        <v>24</v>
      </c>
    </row>
    <row r="16" spans="1:18" ht="31.2" x14ac:dyDescent="0.3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75" t="s">
        <v>25</v>
      </c>
      <c r="L16" s="75" t="s">
        <v>26</v>
      </c>
      <c r="M16" s="75" t="s">
        <v>27</v>
      </c>
      <c r="N16" s="75" t="s">
        <v>25</v>
      </c>
      <c r="O16" s="75" t="s">
        <v>26</v>
      </c>
      <c r="P16" s="75" t="s">
        <v>28</v>
      </c>
      <c r="Q16" s="122"/>
      <c r="R16" s="122"/>
    </row>
    <row r="17" spans="1:18" ht="15.6" x14ac:dyDescent="0.3">
      <c r="A17" s="121">
        <v>1</v>
      </c>
      <c r="B17" s="121"/>
      <c r="C17" s="65">
        <v>2</v>
      </c>
      <c r="D17" s="121">
        <v>3</v>
      </c>
      <c r="E17" s="121"/>
      <c r="F17" s="121"/>
      <c r="G17" s="121"/>
      <c r="H17" s="121"/>
      <c r="I17" s="121">
        <v>4</v>
      </c>
      <c r="J17" s="121"/>
      <c r="K17" s="65">
        <v>5</v>
      </c>
      <c r="L17" s="65">
        <v>6</v>
      </c>
      <c r="M17" s="65">
        <v>7</v>
      </c>
      <c r="N17" s="65">
        <v>8</v>
      </c>
      <c r="O17" s="65">
        <v>9</v>
      </c>
      <c r="P17" s="65">
        <v>10</v>
      </c>
      <c r="Q17" s="65">
        <v>11</v>
      </c>
      <c r="R17" s="65">
        <v>12</v>
      </c>
    </row>
    <row r="18" spans="1:18" ht="15.6" x14ac:dyDescent="0.3">
      <c r="A18" s="138" t="s">
        <v>29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</row>
    <row r="19" spans="1:18" ht="15.6" x14ac:dyDescent="0.3">
      <c r="A19" s="138" t="s">
        <v>30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</row>
    <row r="20" spans="1:18" ht="15.6" x14ac:dyDescent="0.3">
      <c r="A20" s="121">
        <v>1</v>
      </c>
      <c r="B20" s="121"/>
      <c r="C20" s="75" t="s">
        <v>46</v>
      </c>
      <c r="D20" s="120" t="s">
        <v>54</v>
      </c>
      <c r="E20" s="120"/>
      <c r="F20" s="120"/>
      <c r="G20" s="120"/>
      <c r="H20" s="120"/>
      <c r="I20" s="122" t="s">
        <v>31</v>
      </c>
      <c r="J20" s="122"/>
      <c r="K20" s="76">
        <v>0.10100000000000001</v>
      </c>
      <c r="L20" s="77">
        <v>1</v>
      </c>
      <c r="M20" s="77">
        <f>K20</f>
        <v>0.10100000000000001</v>
      </c>
      <c r="N20" s="78"/>
      <c r="O20" s="79"/>
      <c r="P20" s="79"/>
      <c r="Q20" s="79"/>
      <c r="R20" s="80"/>
    </row>
    <row r="21" spans="1:18" ht="15.6" x14ac:dyDescent="0.3">
      <c r="A21" s="118"/>
      <c r="B21" s="118"/>
      <c r="C21" s="81">
        <v>1</v>
      </c>
      <c r="D21" s="119" t="s">
        <v>32</v>
      </c>
      <c r="E21" s="119"/>
      <c r="F21" s="119"/>
      <c r="G21" s="119"/>
      <c r="H21" s="119"/>
      <c r="I21" s="118"/>
      <c r="J21" s="118"/>
      <c r="K21" s="79"/>
      <c r="L21" s="79"/>
      <c r="M21" s="79"/>
      <c r="N21" s="75">
        <v>0</v>
      </c>
      <c r="O21" s="79"/>
      <c r="P21" s="75">
        <f>M20*N21</f>
        <v>0</v>
      </c>
      <c r="Q21" s="75">
        <v>37.756999999999998</v>
      </c>
      <c r="R21" s="75">
        <f>P21*Q21</f>
        <v>0</v>
      </c>
    </row>
    <row r="22" spans="1:18" ht="15.6" x14ac:dyDescent="0.3">
      <c r="A22" s="118"/>
      <c r="B22" s="118"/>
      <c r="C22" s="81">
        <v>3</v>
      </c>
      <c r="D22" s="119" t="s">
        <v>33</v>
      </c>
      <c r="E22" s="119"/>
      <c r="F22" s="119"/>
      <c r="G22" s="119"/>
      <c r="H22" s="119"/>
      <c r="I22" s="118"/>
      <c r="J22" s="118"/>
      <c r="K22" s="79"/>
      <c r="L22" s="79"/>
      <c r="M22" s="79"/>
      <c r="N22" s="75">
        <v>752.3</v>
      </c>
      <c r="O22" s="79"/>
      <c r="P22" s="75">
        <f>N22*M20</f>
        <v>75.982299999999995</v>
      </c>
      <c r="Q22" s="82">
        <v>21.128</v>
      </c>
      <c r="R22" s="75">
        <f>P22*Q22</f>
        <v>1605.3540343999998</v>
      </c>
    </row>
    <row r="23" spans="1:18" ht="15.6" x14ac:dyDescent="0.3">
      <c r="A23" s="118"/>
      <c r="B23" s="118"/>
      <c r="C23" s="81">
        <v>2</v>
      </c>
      <c r="D23" s="119" t="s">
        <v>34</v>
      </c>
      <c r="E23" s="119"/>
      <c r="F23" s="119"/>
      <c r="G23" s="119"/>
      <c r="H23" s="119"/>
      <c r="I23" s="118"/>
      <c r="J23" s="118"/>
      <c r="K23" s="79"/>
      <c r="L23" s="79"/>
      <c r="M23" s="79"/>
      <c r="N23" s="75">
        <v>146.74</v>
      </c>
      <c r="O23" s="79"/>
      <c r="P23" s="75">
        <f>N23*M20</f>
        <v>14.820740000000002</v>
      </c>
      <c r="Q23" s="75">
        <v>37.756999999999998</v>
      </c>
      <c r="R23" s="75">
        <f>P23*Q23</f>
        <v>559.58668018000003</v>
      </c>
    </row>
    <row r="24" spans="1:18" ht="15.6" x14ac:dyDescent="0.3">
      <c r="A24" s="118"/>
      <c r="B24" s="118"/>
      <c r="C24" s="81">
        <v>4</v>
      </c>
      <c r="D24" s="119" t="s">
        <v>35</v>
      </c>
      <c r="E24" s="119"/>
      <c r="F24" s="119"/>
      <c r="G24" s="119"/>
      <c r="H24" s="119"/>
      <c r="I24" s="118"/>
      <c r="J24" s="118"/>
      <c r="K24" s="79"/>
      <c r="L24" s="79"/>
      <c r="M24" s="79"/>
      <c r="N24" s="75">
        <v>0</v>
      </c>
      <c r="O24" s="79"/>
      <c r="P24" s="75">
        <f>N24*M20</f>
        <v>0</v>
      </c>
      <c r="Q24" s="75">
        <v>13.002000000000001</v>
      </c>
      <c r="R24" s="75">
        <f>P24*Q24</f>
        <v>0</v>
      </c>
    </row>
    <row r="25" spans="1:18" ht="15.6" x14ac:dyDescent="0.3">
      <c r="A25" s="118"/>
      <c r="B25" s="118"/>
      <c r="C25" s="79"/>
      <c r="D25" s="119" t="s">
        <v>36</v>
      </c>
      <c r="E25" s="119"/>
      <c r="F25" s="119"/>
      <c r="G25" s="119"/>
      <c r="H25" s="119"/>
      <c r="I25" s="118"/>
      <c r="J25" s="118"/>
      <c r="K25" s="75">
        <v>0</v>
      </c>
      <c r="L25" s="79"/>
      <c r="M25" s="75">
        <f>K25*M20</f>
        <v>0</v>
      </c>
      <c r="N25" s="79"/>
      <c r="O25" s="79"/>
      <c r="P25" s="79"/>
      <c r="Q25" s="79"/>
      <c r="R25" s="80"/>
    </row>
    <row r="26" spans="1:18" ht="15.6" x14ac:dyDescent="0.3">
      <c r="A26" s="118"/>
      <c r="B26" s="118"/>
      <c r="C26" s="79"/>
      <c r="D26" s="119" t="s">
        <v>37</v>
      </c>
      <c r="E26" s="119"/>
      <c r="F26" s="119"/>
      <c r="G26" s="119"/>
      <c r="H26" s="119"/>
      <c r="I26" s="118"/>
      <c r="J26" s="118"/>
      <c r="K26" s="75">
        <v>12.56</v>
      </c>
      <c r="L26" s="79"/>
      <c r="M26" s="75">
        <f>K26*M20</f>
        <v>1.2685600000000001</v>
      </c>
      <c r="N26" s="79"/>
      <c r="O26" s="79"/>
      <c r="P26" s="79"/>
      <c r="Q26" s="79"/>
      <c r="R26" s="80"/>
    </row>
    <row r="27" spans="1:18" ht="15.6" x14ac:dyDescent="0.3">
      <c r="A27" s="118"/>
      <c r="B27" s="118"/>
      <c r="C27" s="79"/>
      <c r="D27" s="119" t="s">
        <v>38</v>
      </c>
      <c r="E27" s="119"/>
      <c r="F27" s="119"/>
      <c r="G27" s="119"/>
      <c r="H27" s="119"/>
      <c r="I27" s="118"/>
      <c r="J27" s="118"/>
      <c r="K27" s="79"/>
      <c r="L27" s="79"/>
      <c r="M27" s="79"/>
      <c r="N27" s="79"/>
      <c r="O27" s="79"/>
      <c r="P27" s="75">
        <f>SUM(P21:P24)</f>
        <v>90.803039999999996</v>
      </c>
      <c r="Q27" s="79"/>
      <c r="R27" s="75">
        <f>SUM(R21:R24)</f>
        <v>2164.9407145799996</v>
      </c>
    </row>
    <row r="28" spans="1:18" ht="15.6" x14ac:dyDescent="0.3">
      <c r="A28" s="118"/>
      <c r="B28" s="118"/>
      <c r="C28" s="79"/>
      <c r="D28" s="119" t="s">
        <v>39</v>
      </c>
      <c r="E28" s="119"/>
      <c r="F28" s="119"/>
      <c r="G28" s="119"/>
      <c r="H28" s="119"/>
      <c r="I28" s="118"/>
      <c r="J28" s="118"/>
      <c r="K28" s="79"/>
      <c r="L28" s="79"/>
      <c r="M28" s="79"/>
      <c r="N28" s="79"/>
      <c r="O28" s="79"/>
      <c r="P28" s="75">
        <f>P21+P23</f>
        <v>14.820740000000002</v>
      </c>
      <c r="Q28" s="79"/>
      <c r="R28" s="75">
        <f>R21+R23</f>
        <v>559.58668018000003</v>
      </c>
    </row>
    <row r="29" spans="1:18" ht="31.2" x14ac:dyDescent="0.3">
      <c r="A29" s="118"/>
      <c r="B29" s="118"/>
      <c r="C29" s="75" t="s">
        <v>40</v>
      </c>
      <c r="D29" s="119" t="s">
        <v>41</v>
      </c>
      <c r="E29" s="119"/>
      <c r="F29" s="119"/>
      <c r="G29" s="119"/>
      <c r="H29" s="119"/>
      <c r="I29" s="120" t="s">
        <v>42</v>
      </c>
      <c r="J29" s="120"/>
      <c r="K29" s="75">
        <v>92</v>
      </c>
      <c r="L29" s="79"/>
      <c r="M29" s="79"/>
      <c r="N29" s="79"/>
      <c r="O29" s="79"/>
      <c r="P29" s="75">
        <f>P28*K29/100</f>
        <v>13.635080800000003</v>
      </c>
      <c r="Q29" s="79"/>
      <c r="R29" s="75">
        <f>R28*K29/100</f>
        <v>514.81974576560003</v>
      </c>
    </row>
    <row r="30" spans="1:18" ht="31.2" x14ac:dyDescent="0.3">
      <c r="A30" s="118"/>
      <c r="B30" s="118"/>
      <c r="C30" s="75" t="s">
        <v>43</v>
      </c>
      <c r="D30" s="119" t="s">
        <v>44</v>
      </c>
      <c r="E30" s="119"/>
      <c r="F30" s="119"/>
      <c r="G30" s="119"/>
      <c r="H30" s="119"/>
      <c r="I30" s="120" t="s">
        <v>42</v>
      </c>
      <c r="J30" s="120"/>
      <c r="K30" s="75">
        <v>46</v>
      </c>
      <c r="L30" s="79"/>
      <c r="M30" s="79"/>
      <c r="N30" s="79"/>
      <c r="O30" s="79"/>
      <c r="P30" s="75">
        <f>P28*K30/100</f>
        <v>6.8175404000000013</v>
      </c>
      <c r="Q30" s="79"/>
      <c r="R30" s="75">
        <f>R28*K30/100</f>
        <v>257.40987288280002</v>
      </c>
    </row>
    <row r="31" spans="1:18" ht="15.6" x14ac:dyDescent="0.3">
      <c r="A31" s="118"/>
      <c r="B31" s="118"/>
      <c r="C31" s="79"/>
      <c r="D31" s="119" t="s">
        <v>45</v>
      </c>
      <c r="E31" s="119"/>
      <c r="F31" s="119"/>
      <c r="G31" s="119"/>
      <c r="H31" s="119"/>
      <c r="I31" s="118"/>
      <c r="J31" s="118"/>
      <c r="K31" s="79"/>
      <c r="L31" s="79"/>
      <c r="M31" s="79"/>
      <c r="N31" s="79"/>
      <c r="O31" s="79"/>
      <c r="P31" s="75">
        <f>P30+P29+P27</f>
        <v>111.25566119999999</v>
      </c>
      <c r="Q31" s="79"/>
      <c r="R31" s="75">
        <f>R30+R29+R27</f>
        <v>2937.1703332283996</v>
      </c>
    </row>
    <row r="32" spans="1:18" s="62" customFormat="1" ht="15.6" x14ac:dyDescent="0.3">
      <c r="A32" s="136">
        <v>2</v>
      </c>
      <c r="B32" s="136"/>
      <c r="C32" s="77" t="s">
        <v>47</v>
      </c>
      <c r="D32" s="122" t="s">
        <v>55</v>
      </c>
      <c r="E32" s="122"/>
      <c r="F32" s="122"/>
      <c r="G32" s="122"/>
      <c r="H32" s="122"/>
      <c r="I32" s="122" t="s">
        <v>31</v>
      </c>
      <c r="J32" s="122"/>
      <c r="K32" s="76">
        <v>0.53200000000000003</v>
      </c>
      <c r="L32" s="77">
        <v>1</v>
      </c>
      <c r="M32" s="77">
        <f>K32</f>
        <v>0.53200000000000003</v>
      </c>
      <c r="N32" s="78"/>
      <c r="O32" s="78"/>
      <c r="P32" s="78"/>
      <c r="Q32" s="78"/>
      <c r="R32" s="78"/>
    </row>
    <row r="33" spans="1:18" ht="15.6" x14ac:dyDescent="0.3">
      <c r="A33" s="118"/>
      <c r="B33" s="118"/>
      <c r="C33" s="81">
        <v>1</v>
      </c>
      <c r="D33" s="119" t="s">
        <v>32</v>
      </c>
      <c r="E33" s="119"/>
      <c r="F33" s="119"/>
      <c r="G33" s="119"/>
      <c r="H33" s="119"/>
      <c r="I33" s="118"/>
      <c r="J33" s="118"/>
      <c r="K33" s="79"/>
      <c r="L33" s="79"/>
      <c r="M33" s="79"/>
      <c r="N33" s="75">
        <v>161.93</v>
      </c>
      <c r="O33" s="79"/>
      <c r="P33" s="75">
        <f>M32*N33</f>
        <v>86.146760000000015</v>
      </c>
      <c r="Q33" s="75">
        <v>37.756999999999998</v>
      </c>
      <c r="R33" s="75">
        <f>P33*Q33</f>
        <v>3252.6432173200005</v>
      </c>
    </row>
    <row r="34" spans="1:18" ht="15.6" x14ac:dyDescent="0.3">
      <c r="A34" s="118"/>
      <c r="B34" s="118"/>
      <c r="C34" s="81">
        <v>3</v>
      </c>
      <c r="D34" s="119" t="s">
        <v>33</v>
      </c>
      <c r="E34" s="119"/>
      <c r="F34" s="119"/>
      <c r="G34" s="119"/>
      <c r="H34" s="119"/>
      <c r="I34" s="118"/>
      <c r="J34" s="118"/>
      <c r="K34" s="79"/>
      <c r="L34" s="79"/>
      <c r="M34" s="79"/>
      <c r="N34" s="75">
        <v>3366.2</v>
      </c>
      <c r="O34" s="79"/>
      <c r="P34" s="75">
        <f>N34*M32</f>
        <v>1790.8184000000001</v>
      </c>
      <c r="Q34" s="82">
        <v>21.128</v>
      </c>
      <c r="R34" s="75">
        <f>P34*Q34</f>
        <v>37836.411155200003</v>
      </c>
    </row>
    <row r="35" spans="1:18" ht="15.6" x14ac:dyDescent="0.3">
      <c r="A35" s="118"/>
      <c r="B35" s="118"/>
      <c r="C35" s="81">
        <v>2</v>
      </c>
      <c r="D35" s="119" t="s">
        <v>34</v>
      </c>
      <c r="E35" s="119"/>
      <c r="F35" s="119"/>
      <c r="G35" s="119"/>
      <c r="H35" s="119"/>
      <c r="I35" s="118"/>
      <c r="J35" s="118"/>
      <c r="K35" s="79"/>
      <c r="L35" s="79"/>
      <c r="M35" s="79"/>
      <c r="N35" s="75">
        <v>785.61</v>
      </c>
      <c r="O35" s="79"/>
      <c r="P35" s="75">
        <f>N35*M32</f>
        <v>417.94452000000001</v>
      </c>
      <c r="Q35" s="75">
        <v>37.756999999999998</v>
      </c>
      <c r="R35" s="75">
        <f>P35*Q35</f>
        <v>15780.33124164</v>
      </c>
    </row>
    <row r="36" spans="1:18" ht="15.6" x14ac:dyDescent="0.3">
      <c r="A36" s="118"/>
      <c r="B36" s="118"/>
      <c r="C36" s="81">
        <v>4</v>
      </c>
      <c r="D36" s="119" t="s">
        <v>35</v>
      </c>
      <c r="E36" s="119"/>
      <c r="F36" s="119"/>
      <c r="G36" s="119"/>
      <c r="H36" s="119"/>
      <c r="I36" s="118"/>
      <c r="J36" s="118"/>
      <c r="K36" s="79"/>
      <c r="L36" s="79"/>
      <c r="M36" s="79"/>
      <c r="N36" s="75">
        <v>4.34</v>
      </c>
      <c r="O36" s="79"/>
      <c r="P36" s="75">
        <f>N36*M32</f>
        <v>2.3088800000000003</v>
      </c>
      <c r="Q36" s="75">
        <v>13.002000000000001</v>
      </c>
      <c r="R36" s="75">
        <f>P36*Q36</f>
        <v>30.020057760000004</v>
      </c>
    </row>
    <row r="37" spans="1:18" ht="15.6" x14ac:dyDescent="0.3">
      <c r="A37" s="118"/>
      <c r="B37" s="118"/>
      <c r="C37" s="79"/>
      <c r="D37" s="119" t="s">
        <v>36</v>
      </c>
      <c r="E37" s="119"/>
      <c r="F37" s="119"/>
      <c r="G37" s="119"/>
      <c r="H37" s="119"/>
      <c r="I37" s="118"/>
      <c r="J37" s="118"/>
      <c r="K37" s="75">
        <v>20.76</v>
      </c>
      <c r="L37" s="79"/>
      <c r="M37" s="75">
        <f>K37*M32</f>
        <v>11.044320000000001</v>
      </c>
      <c r="N37" s="79"/>
      <c r="O37" s="79"/>
      <c r="P37" s="79"/>
      <c r="Q37" s="79"/>
      <c r="R37" s="80"/>
    </row>
    <row r="38" spans="1:18" ht="15.6" x14ac:dyDescent="0.3">
      <c r="A38" s="118"/>
      <c r="B38" s="118"/>
      <c r="C38" s="79"/>
      <c r="D38" s="119" t="s">
        <v>37</v>
      </c>
      <c r="E38" s="119"/>
      <c r="F38" s="119"/>
      <c r="G38" s="119"/>
      <c r="H38" s="119"/>
      <c r="I38" s="118"/>
      <c r="J38" s="118"/>
      <c r="K38" s="75">
        <v>60.2</v>
      </c>
      <c r="L38" s="79"/>
      <c r="M38" s="75">
        <f>K38*M32</f>
        <v>32.026400000000002</v>
      </c>
      <c r="N38" s="79"/>
      <c r="O38" s="79"/>
      <c r="P38" s="79"/>
      <c r="Q38" s="79"/>
      <c r="R38" s="80"/>
    </row>
    <row r="39" spans="1:18" ht="15.6" x14ac:dyDescent="0.3">
      <c r="A39" s="118"/>
      <c r="B39" s="118"/>
      <c r="C39" s="79"/>
      <c r="D39" s="119" t="s">
        <v>38</v>
      </c>
      <c r="E39" s="119"/>
      <c r="F39" s="119"/>
      <c r="G39" s="119"/>
      <c r="H39" s="119"/>
      <c r="I39" s="118"/>
      <c r="J39" s="118"/>
      <c r="K39" s="79"/>
      <c r="L39" s="79"/>
      <c r="M39" s="79"/>
      <c r="N39" s="79"/>
      <c r="O39" s="79"/>
      <c r="P39" s="75">
        <f>SUM(P33:P36)</f>
        <v>2297.2185600000003</v>
      </c>
      <c r="Q39" s="79"/>
      <c r="R39" s="75">
        <f>SUM(R33:R36)</f>
        <v>56899.405671920002</v>
      </c>
    </row>
    <row r="40" spans="1:18" ht="15.6" x14ac:dyDescent="0.3">
      <c r="A40" s="118"/>
      <c r="B40" s="118"/>
      <c r="C40" s="79"/>
      <c r="D40" s="119" t="s">
        <v>39</v>
      </c>
      <c r="E40" s="119"/>
      <c r="F40" s="119"/>
      <c r="G40" s="119"/>
      <c r="H40" s="119"/>
      <c r="I40" s="118"/>
      <c r="J40" s="118"/>
      <c r="K40" s="79"/>
      <c r="L40" s="79"/>
      <c r="M40" s="79"/>
      <c r="N40" s="79"/>
      <c r="O40" s="79"/>
      <c r="P40" s="75">
        <f>P33+P35</f>
        <v>504.09128000000004</v>
      </c>
      <c r="Q40" s="79"/>
      <c r="R40" s="75">
        <f>R33+R35</f>
        <v>19032.974458960001</v>
      </c>
    </row>
    <row r="41" spans="1:18" ht="31.2" x14ac:dyDescent="0.3">
      <c r="A41" s="118"/>
      <c r="B41" s="118"/>
      <c r="C41" s="75" t="s">
        <v>40</v>
      </c>
      <c r="D41" s="119" t="s">
        <v>41</v>
      </c>
      <c r="E41" s="119"/>
      <c r="F41" s="119"/>
      <c r="G41" s="119"/>
      <c r="H41" s="119"/>
      <c r="I41" s="120" t="s">
        <v>42</v>
      </c>
      <c r="J41" s="120"/>
      <c r="K41" s="75">
        <v>92</v>
      </c>
      <c r="L41" s="79"/>
      <c r="M41" s="79"/>
      <c r="N41" s="79"/>
      <c r="O41" s="79"/>
      <c r="P41" s="75">
        <f>P40*K41/100</f>
        <v>463.76397760000009</v>
      </c>
      <c r="Q41" s="79"/>
      <c r="R41" s="75">
        <f>R40*K41/100</f>
        <v>17510.336502243201</v>
      </c>
    </row>
    <row r="42" spans="1:18" ht="31.2" x14ac:dyDescent="0.3">
      <c r="A42" s="118"/>
      <c r="B42" s="118"/>
      <c r="C42" s="75" t="s">
        <v>43</v>
      </c>
      <c r="D42" s="119" t="s">
        <v>44</v>
      </c>
      <c r="E42" s="119"/>
      <c r="F42" s="119"/>
      <c r="G42" s="119"/>
      <c r="H42" s="119"/>
      <c r="I42" s="120" t="s">
        <v>42</v>
      </c>
      <c r="J42" s="120"/>
      <c r="K42" s="75">
        <v>46</v>
      </c>
      <c r="L42" s="79"/>
      <c r="M42" s="79"/>
      <c r="N42" s="79"/>
      <c r="O42" s="79"/>
      <c r="P42" s="75">
        <f>P40*K42/100</f>
        <v>231.88198880000004</v>
      </c>
      <c r="Q42" s="79"/>
      <c r="R42" s="75">
        <f>R40*K42/100</f>
        <v>8755.1682511216004</v>
      </c>
    </row>
    <row r="43" spans="1:18" ht="15.6" x14ac:dyDescent="0.3">
      <c r="A43" s="118"/>
      <c r="B43" s="118"/>
      <c r="C43" s="79"/>
      <c r="D43" s="119" t="s">
        <v>45</v>
      </c>
      <c r="E43" s="119"/>
      <c r="F43" s="119"/>
      <c r="G43" s="119"/>
      <c r="H43" s="119"/>
      <c r="I43" s="118"/>
      <c r="J43" s="118"/>
      <c r="K43" s="79"/>
      <c r="L43" s="79"/>
      <c r="M43" s="79"/>
      <c r="N43" s="79"/>
      <c r="O43" s="79"/>
      <c r="P43" s="75">
        <f>P42+P41+P39</f>
        <v>2992.8645264000006</v>
      </c>
      <c r="Q43" s="79"/>
      <c r="R43" s="75">
        <f>R42+R41+R39</f>
        <v>83164.910425284805</v>
      </c>
    </row>
    <row r="44" spans="1:18" s="22" customFormat="1" ht="31.2" x14ac:dyDescent="0.3">
      <c r="A44" s="121">
        <v>3</v>
      </c>
      <c r="B44" s="121"/>
      <c r="C44" s="75" t="s">
        <v>465</v>
      </c>
      <c r="D44" s="120" t="s">
        <v>464</v>
      </c>
      <c r="E44" s="120"/>
      <c r="F44" s="120"/>
      <c r="G44" s="120"/>
      <c r="H44" s="120"/>
      <c r="I44" s="122" t="s">
        <v>31</v>
      </c>
      <c r="J44" s="122"/>
      <c r="K44" s="76">
        <v>0.21</v>
      </c>
      <c r="L44" s="77">
        <v>1</v>
      </c>
      <c r="M44" s="77">
        <f>K44</f>
        <v>0.21</v>
      </c>
      <c r="N44" s="78"/>
      <c r="O44" s="79"/>
      <c r="P44" s="79"/>
      <c r="Q44" s="79"/>
      <c r="R44" s="80"/>
    </row>
    <row r="45" spans="1:18" ht="15.6" x14ac:dyDescent="0.3">
      <c r="A45" s="118"/>
      <c r="B45" s="118"/>
      <c r="C45" s="81">
        <v>1</v>
      </c>
      <c r="D45" s="119" t="s">
        <v>32</v>
      </c>
      <c r="E45" s="119"/>
      <c r="F45" s="119"/>
      <c r="G45" s="119"/>
      <c r="H45" s="119"/>
      <c r="I45" s="118"/>
      <c r="J45" s="118"/>
      <c r="K45" s="79"/>
      <c r="L45" s="79"/>
      <c r="M45" s="79"/>
      <c r="N45" s="75">
        <v>1201.2</v>
      </c>
      <c r="O45" s="79"/>
      <c r="P45" s="75">
        <f>M44*N45</f>
        <v>252.25200000000001</v>
      </c>
      <c r="Q45" s="75">
        <v>37.756999999999998</v>
      </c>
      <c r="R45" s="75">
        <f>P45*Q45</f>
        <v>9524.2787640000006</v>
      </c>
    </row>
    <row r="46" spans="1:18" ht="15.6" x14ac:dyDescent="0.3">
      <c r="A46" s="118"/>
      <c r="B46" s="118"/>
      <c r="C46" s="81">
        <v>3</v>
      </c>
      <c r="D46" s="119" t="s">
        <v>33</v>
      </c>
      <c r="E46" s="119"/>
      <c r="F46" s="119"/>
      <c r="G46" s="119"/>
      <c r="H46" s="119"/>
      <c r="I46" s="118"/>
      <c r="J46" s="118"/>
      <c r="K46" s="79"/>
      <c r="L46" s="79"/>
      <c r="M46" s="79"/>
      <c r="N46" s="75">
        <v>0</v>
      </c>
      <c r="O46" s="79"/>
      <c r="P46" s="75">
        <f>N46*M44</f>
        <v>0</v>
      </c>
      <c r="Q46" s="82">
        <v>21.128</v>
      </c>
      <c r="R46" s="75">
        <f>P46*Q46</f>
        <v>0</v>
      </c>
    </row>
    <row r="47" spans="1:18" ht="15.6" x14ac:dyDescent="0.3">
      <c r="A47" s="118"/>
      <c r="B47" s="118"/>
      <c r="C47" s="81">
        <v>2</v>
      </c>
      <c r="D47" s="119" t="s">
        <v>34</v>
      </c>
      <c r="E47" s="119"/>
      <c r="F47" s="119"/>
      <c r="G47" s="119"/>
      <c r="H47" s="119"/>
      <c r="I47" s="118"/>
      <c r="J47" s="118"/>
      <c r="K47" s="79"/>
      <c r="L47" s="79"/>
      <c r="M47" s="79"/>
      <c r="N47" s="75">
        <v>0</v>
      </c>
      <c r="O47" s="79"/>
      <c r="P47" s="75">
        <f>N47*M44</f>
        <v>0</v>
      </c>
      <c r="Q47" s="75">
        <v>37.756999999999998</v>
      </c>
      <c r="R47" s="75">
        <f>P47*Q47</f>
        <v>0</v>
      </c>
    </row>
    <row r="48" spans="1:18" ht="15.6" x14ac:dyDescent="0.3">
      <c r="A48" s="118"/>
      <c r="B48" s="118"/>
      <c r="C48" s="81">
        <v>4</v>
      </c>
      <c r="D48" s="119" t="s">
        <v>35</v>
      </c>
      <c r="E48" s="119"/>
      <c r="F48" s="119"/>
      <c r="G48" s="119"/>
      <c r="H48" s="119"/>
      <c r="I48" s="118"/>
      <c r="J48" s="118"/>
      <c r="K48" s="79"/>
      <c r="L48" s="79"/>
      <c r="M48" s="79"/>
      <c r="N48" s="75">
        <v>0</v>
      </c>
      <c r="O48" s="79"/>
      <c r="P48" s="75">
        <f>N48*M44</f>
        <v>0</v>
      </c>
      <c r="Q48" s="75">
        <v>13.002000000000001</v>
      </c>
      <c r="R48" s="75">
        <f>P48*Q48</f>
        <v>0</v>
      </c>
    </row>
    <row r="49" spans="1:18" ht="15.6" x14ac:dyDescent="0.3">
      <c r="A49" s="118"/>
      <c r="B49" s="118"/>
      <c r="C49" s="79"/>
      <c r="D49" s="119" t="s">
        <v>36</v>
      </c>
      <c r="E49" s="119"/>
      <c r="F49" s="119"/>
      <c r="G49" s="119"/>
      <c r="H49" s="119"/>
      <c r="I49" s="118"/>
      <c r="J49" s="118"/>
      <c r="K49" s="75">
        <v>154</v>
      </c>
      <c r="L49" s="79"/>
      <c r="M49" s="75">
        <f>K49*M44</f>
        <v>32.339999999999996</v>
      </c>
      <c r="N49" s="79"/>
      <c r="O49" s="79"/>
      <c r="P49" s="79"/>
      <c r="Q49" s="79"/>
      <c r="R49" s="80"/>
    </row>
    <row r="50" spans="1:18" ht="15.6" x14ac:dyDescent="0.3">
      <c r="A50" s="118"/>
      <c r="B50" s="118"/>
      <c r="C50" s="79"/>
      <c r="D50" s="119" t="s">
        <v>37</v>
      </c>
      <c r="E50" s="119"/>
      <c r="F50" s="119"/>
      <c r="G50" s="119"/>
      <c r="H50" s="119"/>
      <c r="I50" s="118"/>
      <c r="J50" s="118"/>
      <c r="K50" s="75">
        <v>0</v>
      </c>
      <c r="L50" s="79"/>
      <c r="M50" s="75">
        <f>K50*M44</f>
        <v>0</v>
      </c>
      <c r="N50" s="79"/>
      <c r="O50" s="79"/>
      <c r="P50" s="79"/>
      <c r="Q50" s="79"/>
      <c r="R50" s="80"/>
    </row>
    <row r="51" spans="1:18" ht="15.6" x14ac:dyDescent="0.3">
      <c r="A51" s="118"/>
      <c r="B51" s="118"/>
      <c r="C51" s="79"/>
      <c r="D51" s="119" t="s">
        <v>38</v>
      </c>
      <c r="E51" s="119"/>
      <c r="F51" s="119"/>
      <c r="G51" s="119"/>
      <c r="H51" s="119"/>
      <c r="I51" s="118"/>
      <c r="J51" s="118"/>
      <c r="K51" s="79"/>
      <c r="L51" s="79"/>
      <c r="M51" s="79"/>
      <c r="N51" s="79"/>
      <c r="O51" s="79"/>
      <c r="P51" s="75">
        <f>SUM(P45:P48)</f>
        <v>252.25200000000001</v>
      </c>
      <c r="Q51" s="79"/>
      <c r="R51" s="75">
        <f>SUM(R45:R48)</f>
        <v>9524.2787640000006</v>
      </c>
    </row>
    <row r="52" spans="1:18" ht="15.6" x14ac:dyDescent="0.3">
      <c r="A52" s="118"/>
      <c r="B52" s="118"/>
      <c r="C52" s="79"/>
      <c r="D52" s="119" t="s">
        <v>39</v>
      </c>
      <c r="E52" s="119"/>
      <c r="F52" s="119"/>
      <c r="G52" s="119"/>
      <c r="H52" s="119"/>
      <c r="I52" s="118"/>
      <c r="J52" s="118"/>
      <c r="K52" s="79"/>
      <c r="L52" s="79"/>
      <c r="M52" s="79"/>
      <c r="N52" s="79"/>
      <c r="O52" s="79"/>
      <c r="P52" s="75">
        <f>P45+P47</f>
        <v>252.25200000000001</v>
      </c>
      <c r="Q52" s="79"/>
      <c r="R52" s="75">
        <f>R45+R47</f>
        <v>9524.2787640000006</v>
      </c>
    </row>
    <row r="53" spans="1:18" ht="31.2" x14ac:dyDescent="0.3">
      <c r="A53" s="118"/>
      <c r="B53" s="118"/>
      <c r="C53" s="75" t="s">
        <v>40</v>
      </c>
      <c r="D53" s="119" t="s">
        <v>41</v>
      </c>
      <c r="E53" s="119"/>
      <c r="F53" s="119"/>
      <c r="G53" s="119"/>
      <c r="H53" s="119"/>
      <c r="I53" s="120" t="s">
        <v>42</v>
      </c>
      <c r="J53" s="120"/>
      <c r="K53" s="75">
        <v>89</v>
      </c>
      <c r="L53" s="79"/>
      <c r="M53" s="79"/>
      <c r="N53" s="79"/>
      <c r="O53" s="79"/>
      <c r="P53" s="75">
        <f>P52*K53/100</f>
        <v>224.50427999999999</v>
      </c>
      <c r="Q53" s="79"/>
      <c r="R53" s="75">
        <f>R52*K53/100</f>
        <v>8476.6080999599999</v>
      </c>
    </row>
    <row r="54" spans="1:18" ht="31.2" x14ac:dyDescent="0.3">
      <c r="A54" s="118"/>
      <c r="B54" s="118"/>
      <c r="C54" s="75" t="s">
        <v>43</v>
      </c>
      <c r="D54" s="119" t="s">
        <v>44</v>
      </c>
      <c r="E54" s="119"/>
      <c r="F54" s="119"/>
      <c r="G54" s="119"/>
      <c r="H54" s="119"/>
      <c r="I54" s="120" t="s">
        <v>42</v>
      </c>
      <c r="J54" s="120"/>
      <c r="K54" s="75">
        <v>40</v>
      </c>
      <c r="L54" s="79"/>
      <c r="M54" s="79"/>
      <c r="N54" s="79"/>
      <c r="O54" s="79"/>
      <c r="P54" s="75">
        <f>P52*K54/100</f>
        <v>100.9008</v>
      </c>
      <c r="Q54" s="79"/>
      <c r="R54" s="75">
        <f>R52*K54/100</f>
        <v>3809.7115056000002</v>
      </c>
    </row>
    <row r="55" spans="1:18" ht="15.6" x14ac:dyDescent="0.3">
      <c r="A55" s="118"/>
      <c r="B55" s="118"/>
      <c r="C55" s="79"/>
      <c r="D55" s="119" t="s">
        <v>45</v>
      </c>
      <c r="E55" s="119"/>
      <c r="F55" s="119"/>
      <c r="G55" s="119"/>
      <c r="H55" s="119"/>
      <c r="I55" s="118"/>
      <c r="J55" s="118"/>
      <c r="K55" s="79"/>
      <c r="L55" s="79"/>
      <c r="M55" s="79"/>
      <c r="N55" s="79"/>
      <c r="O55" s="79"/>
      <c r="P55" s="75">
        <f>P54+P53+P51</f>
        <v>577.65707999999995</v>
      </c>
      <c r="Q55" s="79"/>
      <c r="R55" s="75">
        <f>R54+R53+R51</f>
        <v>21810.598369560001</v>
      </c>
    </row>
    <row r="56" spans="1:18" ht="15.6" x14ac:dyDescent="0.3">
      <c r="A56" s="123"/>
      <c r="B56" s="123"/>
      <c r="C56" s="79"/>
      <c r="D56" s="120" t="s">
        <v>57</v>
      </c>
      <c r="E56" s="120"/>
      <c r="F56" s="120"/>
      <c r="G56" s="120"/>
      <c r="H56" s="120"/>
      <c r="I56" s="123"/>
      <c r="J56" s="123"/>
      <c r="K56" s="79"/>
      <c r="L56" s="79"/>
      <c r="M56" s="79"/>
      <c r="N56" s="79"/>
      <c r="O56" s="79"/>
      <c r="P56" s="75">
        <f>P31+P43+P55</f>
        <v>3681.7772676000004</v>
      </c>
      <c r="Q56" s="79"/>
      <c r="R56" s="75">
        <f>R31+R43+R55</f>
        <v>107912.6791280732</v>
      </c>
    </row>
    <row r="57" spans="1:18" ht="15.6" x14ac:dyDescent="0.3">
      <c r="A57" s="135" t="s">
        <v>48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</row>
    <row r="58" spans="1:18" ht="31.2" x14ac:dyDescent="0.3">
      <c r="A58" s="121">
        <v>4</v>
      </c>
      <c r="B58" s="121"/>
      <c r="C58" s="75" t="s">
        <v>49</v>
      </c>
      <c r="D58" s="120" t="s">
        <v>56</v>
      </c>
      <c r="E58" s="120"/>
      <c r="F58" s="120"/>
      <c r="G58" s="120"/>
      <c r="H58" s="120"/>
      <c r="I58" s="122" t="s">
        <v>50</v>
      </c>
      <c r="J58" s="122"/>
      <c r="K58" s="76">
        <v>15.2</v>
      </c>
      <c r="L58" s="77">
        <v>1</v>
      </c>
      <c r="M58" s="77">
        <f>K58</f>
        <v>15.2</v>
      </c>
      <c r="N58" s="78"/>
      <c r="O58" s="79"/>
      <c r="P58" s="79"/>
      <c r="Q58" s="79"/>
      <c r="R58" s="80"/>
    </row>
    <row r="59" spans="1:18" ht="15.6" x14ac:dyDescent="0.3">
      <c r="A59" s="118"/>
      <c r="B59" s="118"/>
      <c r="C59" s="81">
        <v>1</v>
      </c>
      <c r="D59" s="119" t="s">
        <v>32</v>
      </c>
      <c r="E59" s="119"/>
      <c r="F59" s="119"/>
      <c r="G59" s="119"/>
      <c r="H59" s="119"/>
      <c r="I59" s="118"/>
      <c r="J59" s="118"/>
      <c r="K59" s="79"/>
      <c r="L59" s="79"/>
      <c r="M59" s="79"/>
      <c r="N59" s="75">
        <v>18.78</v>
      </c>
      <c r="O59" s="79"/>
      <c r="P59" s="75">
        <f>M58*N59</f>
        <v>285.45600000000002</v>
      </c>
      <c r="Q59" s="75">
        <v>37.756999999999998</v>
      </c>
      <c r="R59" s="75">
        <f>P59*Q59</f>
        <v>10777.962192000001</v>
      </c>
    </row>
    <row r="60" spans="1:18" ht="15.6" x14ac:dyDescent="0.3">
      <c r="A60" s="118"/>
      <c r="B60" s="118"/>
      <c r="C60" s="81">
        <v>3</v>
      </c>
      <c r="D60" s="119" t="s">
        <v>33</v>
      </c>
      <c r="E60" s="119"/>
      <c r="F60" s="119"/>
      <c r="G60" s="119"/>
      <c r="H60" s="119"/>
      <c r="I60" s="118"/>
      <c r="J60" s="118"/>
      <c r="K60" s="79"/>
      <c r="L60" s="79"/>
      <c r="M60" s="79"/>
      <c r="N60" s="75">
        <v>26.36</v>
      </c>
      <c r="O60" s="79"/>
      <c r="P60" s="75">
        <f>N60*M58</f>
        <v>400.67199999999997</v>
      </c>
      <c r="Q60" s="82">
        <v>21.128</v>
      </c>
      <c r="R60" s="75">
        <f>P60*Q60</f>
        <v>8465.3980159999992</v>
      </c>
    </row>
    <row r="61" spans="1:18" ht="15.6" x14ac:dyDescent="0.3">
      <c r="A61" s="118"/>
      <c r="B61" s="118"/>
      <c r="C61" s="81">
        <v>2</v>
      </c>
      <c r="D61" s="119" t="s">
        <v>34</v>
      </c>
      <c r="E61" s="119"/>
      <c r="F61" s="119"/>
      <c r="G61" s="119"/>
      <c r="H61" s="119"/>
      <c r="I61" s="118"/>
      <c r="J61" s="118"/>
      <c r="K61" s="79"/>
      <c r="L61" s="79"/>
      <c r="M61" s="79"/>
      <c r="N61" s="75">
        <v>3.04</v>
      </c>
      <c r="O61" s="79"/>
      <c r="P61" s="75">
        <f>N61*M58</f>
        <v>46.207999999999998</v>
      </c>
      <c r="Q61" s="75">
        <v>37.756999999999998</v>
      </c>
      <c r="R61" s="75">
        <f>P61*Q61</f>
        <v>1744.6754559999999</v>
      </c>
    </row>
    <row r="62" spans="1:18" ht="15.6" x14ac:dyDescent="0.3">
      <c r="A62" s="118"/>
      <c r="B62" s="118"/>
      <c r="C62" s="81">
        <v>4</v>
      </c>
      <c r="D62" s="119" t="s">
        <v>35</v>
      </c>
      <c r="E62" s="119"/>
      <c r="F62" s="119"/>
      <c r="G62" s="119"/>
      <c r="H62" s="119"/>
      <c r="I62" s="118"/>
      <c r="J62" s="118"/>
      <c r="K62" s="79"/>
      <c r="L62" s="79"/>
      <c r="M62" s="79"/>
      <c r="N62" s="75">
        <v>72.349999999999994</v>
      </c>
      <c r="O62" s="79"/>
      <c r="P62" s="75">
        <f>N62*M58</f>
        <v>1099.7199999999998</v>
      </c>
      <c r="Q62" s="75">
        <v>13.002000000000001</v>
      </c>
      <c r="R62" s="75">
        <f>P62*Q62</f>
        <v>14298.559439999997</v>
      </c>
    </row>
    <row r="63" spans="1:18" ht="15.6" x14ac:dyDescent="0.3">
      <c r="A63" s="118"/>
      <c r="B63" s="118"/>
      <c r="C63" s="79"/>
      <c r="D63" s="119" t="s">
        <v>36</v>
      </c>
      <c r="E63" s="119"/>
      <c r="F63" s="119"/>
      <c r="G63" s="119"/>
      <c r="H63" s="119"/>
      <c r="I63" s="118"/>
      <c r="J63" s="118"/>
      <c r="K63" s="75">
        <v>2.2999999999999998</v>
      </c>
      <c r="L63" s="79"/>
      <c r="M63" s="75">
        <f>K63*M58</f>
        <v>34.959999999999994</v>
      </c>
      <c r="N63" s="79"/>
      <c r="O63" s="79"/>
      <c r="P63" s="79"/>
      <c r="Q63" s="79"/>
      <c r="R63" s="80"/>
    </row>
    <row r="64" spans="1:18" ht="15.6" x14ac:dyDescent="0.3">
      <c r="A64" s="118"/>
      <c r="B64" s="118"/>
      <c r="C64" s="79"/>
      <c r="D64" s="119" t="s">
        <v>37</v>
      </c>
      <c r="E64" s="119"/>
      <c r="F64" s="119"/>
      <c r="G64" s="119"/>
      <c r="H64" s="119"/>
      <c r="I64" s="118"/>
      <c r="J64" s="118"/>
      <c r="K64" s="75">
        <v>0.28999999999999998</v>
      </c>
      <c r="L64" s="79"/>
      <c r="M64" s="75">
        <f>K64*M58</f>
        <v>4.4079999999999995</v>
      </c>
      <c r="N64" s="79"/>
      <c r="O64" s="79"/>
      <c r="P64" s="79"/>
      <c r="Q64" s="79"/>
      <c r="R64" s="80"/>
    </row>
    <row r="65" spans="1:18" ht="15.6" x14ac:dyDescent="0.3">
      <c r="A65" s="118"/>
      <c r="B65" s="118"/>
      <c r="C65" s="79"/>
      <c r="D65" s="119" t="s">
        <v>38</v>
      </c>
      <c r="E65" s="119"/>
      <c r="F65" s="119"/>
      <c r="G65" s="119"/>
      <c r="H65" s="119"/>
      <c r="I65" s="118"/>
      <c r="J65" s="118"/>
      <c r="K65" s="79"/>
      <c r="L65" s="79"/>
      <c r="M65" s="79"/>
      <c r="N65" s="79"/>
      <c r="O65" s="79"/>
      <c r="P65" s="75">
        <f>SUM(P59:P62)</f>
        <v>1832.0559999999996</v>
      </c>
      <c r="Q65" s="79"/>
      <c r="R65" s="75">
        <f>SUM(R59:R62)</f>
        <v>35286.595103999993</v>
      </c>
    </row>
    <row r="66" spans="1:18" ht="15.6" x14ac:dyDescent="0.3">
      <c r="A66" s="118"/>
      <c r="B66" s="118"/>
      <c r="C66" s="79"/>
      <c r="D66" s="119" t="s">
        <v>39</v>
      </c>
      <c r="E66" s="119"/>
      <c r="F66" s="119"/>
      <c r="G66" s="119"/>
      <c r="H66" s="119"/>
      <c r="I66" s="118"/>
      <c r="J66" s="118"/>
      <c r="K66" s="79"/>
      <c r="L66" s="79"/>
      <c r="M66" s="79"/>
      <c r="N66" s="79"/>
      <c r="O66" s="79"/>
      <c r="P66" s="75">
        <f>P59+P61</f>
        <v>331.66399999999999</v>
      </c>
      <c r="Q66" s="79"/>
      <c r="R66" s="75">
        <f>R59+R61</f>
        <v>12522.637648</v>
      </c>
    </row>
    <row r="67" spans="1:18" ht="31.2" x14ac:dyDescent="0.3">
      <c r="A67" s="118"/>
      <c r="B67" s="118"/>
      <c r="C67" s="75" t="s">
        <v>40</v>
      </c>
      <c r="D67" s="119" t="s">
        <v>41</v>
      </c>
      <c r="E67" s="119"/>
      <c r="F67" s="119"/>
      <c r="G67" s="119"/>
      <c r="H67" s="119"/>
      <c r="I67" s="120" t="s">
        <v>42</v>
      </c>
      <c r="J67" s="120"/>
      <c r="K67" s="75">
        <v>110</v>
      </c>
      <c r="L67" s="79"/>
      <c r="M67" s="79"/>
      <c r="N67" s="79"/>
      <c r="O67" s="79"/>
      <c r="P67" s="75">
        <f>P66*K67/100</f>
        <v>364.8304</v>
      </c>
      <c r="Q67" s="79"/>
      <c r="R67" s="75">
        <f>R66*K67/100</f>
        <v>13774.901412800002</v>
      </c>
    </row>
    <row r="68" spans="1:18" ht="31.2" x14ac:dyDescent="0.3">
      <c r="A68" s="118"/>
      <c r="B68" s="118"/>
      <c r="C68" s="75" t="s">
        <v>43</v>
      </c>
      <c r="D68" s="119" t="s">
        <v>44</v>
      </c>
      <c r="E68" s="119"/>
      <c r="F68" s="119"/>
      <c r="G68" s="119"/>
      <c r="H68" s="119"/>
      <c r="I68" s="120" t="s">
        <v>42</v>
      </c>
      <c r="J68" s="120"/>
      <c r="K68" s="75">
        <v>69</v>
      </c>
      <c r="L68" s="79"/>
      <c r="M68" s="79"/>
      <c r="N68" s="79"/>
      <c r="O68" s="79"/>
      <c r="P68" s="75">
        <f>P66*K68/100</f>
        <v>228.84815999999998</v>
      </c>
      <c r="Q68" s="79"/>
      <c r="R68" s="75">
        <f>R66*K68/100</f>
        <v>8640.6199771200008</v>
      </c>
    </row>
    <row r="69" spans="1:18" ht="15.6" x14ac:dyDescent="0.3">
      <c r="A69" s="118"/>
      <c r="B69" s="118"/>
      <c r="C69" s="79"/>
      <c r="D69" s="119" t="s">
        <v>45</v>
      </c>
      <c r="E69" s="119"/>
      <c r="F69" s="119"/>
      <c r="G69" s="119"/>
      <c r="H69" s="119"/>
      <c r="I69" s="118"/>
      <c r="J69" s="118"/>
      <c r="K69" s="79"/>
      <c r="L69" s="79"/>
      <c r="M69" s="79"/>
      <c r="N69" s="79"/>
      <c r="O69" s="79"/>
      <c r="P69" s="75">
        <f>P68+P67+P65</f>
        <v>2425.7345599999994</v>
      </c>
      <c r="Q69" s="79"/>
      <c r="R69" s="75">
        <f>R68+R67+R65</f>
        <v>57702.116493919995</v>
      </c>
    </row>
    <row r="70" spans="1:18" ht="31.2" x14ac:dyDescent="0.3">
      <c r="A70" s="121" t="s">
        <v>65</v>
      </c>
      <c r="B70" s="121"/>
      <c r="C70" s="75" t="s">
        <v>51</v>
      </c>
      <c r="D70" s="120" t="s">
        <v>58</v>
      </c>
      <c r="E70" s="120"/>
      <c r="F70" s="120"/>
      <c r="G70" s="120"/>
      <c r="H70" s="120"/>
      <c r="I70" s="122" t="s">
        <v>52</v>
      </c>
      <c r="J70" s="122"/>
      <c r="K70" s="76">
        <v>0.16</v>
      </c>
      <c r="L70" s="77">
        <v>1</v>
      </c>
      <c r="M70" s="77">
        <f>K70</f>
        <v>0.16</v>
      </c>
      <c r="N70" s="78"/>
      <c r="O70" s="79"/>
      <c r="P70" s="79"/>
      <c r="Q70" s="79"/>
      <c r="R70" s="80"/>
    </row>
    <row r="71" spans="1:18" ht="15.6" x14ac:dyDescent="0.3">
      <c r="A71" s="118"/>
      <c r="B71" s="118"/>
      <c r="C71" s="81">
        <v>1</v>
      </c>
      <c r="D71" s="119" t="s">
        <v>32</v>
      </c>
      <c r="E71" s="119"/>
      <c r="F71" s="119"/>
      <c r="G71" s="119"/>
      <c r="H71" s="119"/>
      <c r="I71" s="118"/>
      <c r="J71" s="118"/>
      <c r="K71" s="79"/>
      <c r="L71" s="79"/>
      <c r="M71" s="79"/>
      <c r="N71" s="75">
        <v>811.4</v>
      </c>
      <c r="O71" s="79"/>
      <c r="P71" s="75">
        <f>M70*N71</f>
        <v>129.82400000000001</v>
      </c>
      <c r="Q71" s="75">
        <v>37.756999999999998</v>
      </c>
      <c r="R71" s="75">
        <f>P71*Q71</f>
        <v>4901.764768</v>
      </c>
    </row>
    <row r="72" spans="1:18" ht="15.6" x14ac:dyDescent="0.3">
      <c r="A72" s="118"/>
      <c r="B72" s="118"/>
      <c r="C72" s="81">
        <v>3</v>
      </c>
      <c r="D72" s="119" t="s">
        <v>33</v>
      </c>
      <c r="E72" s="119"/>
      <c r="F72" s="119"/>
      <c r="G72" s="119"/>
      <c r="H72" s="119"/>
      <c r="I72" s="118"/>
      <c r="J72" s="118"/>
      <c r="K72" s="79"/>
      <c r="L72" s="79"/>
      <c r="M72" s="79"/>
      <c r="N72" s="75">
        <v>3379.77</v>
      </c>
      <c r="O72" s="79"/>
      <c r="P72" s="75">
        <f>N72*M70</f>
        <v>540.76319999999998</v>
      </c>
      <c r="Q72" s="82">
        <v>21.128</v>
      </c>
      <c r="R72" s="75">
        <f>P72*Q72</f>
        <v>11425.244889600001</v>
      </c>
    </row>
    <row r="73" spans="1:18" ht="15.6" x14ac:dyDescent="0.3">
      <c r="A73" s="118"/>
      <c r="B73" s="118"/>
      <c r="C73" s="81">
        <v>2</v>
      </c>
      <c r="D73" s="119" t="s">
        <v>34</v>
      </c>
      <c r="E73" s="119"/>
      <c r="F73" s="119"/>
      <c r="G73" s="119"/>
      <c r="H73" s="119"/>
      <c r="I73" s="118"/>
      <c r="J73" s="118"/>
      <c r="K73" s="79"/>
      <c r="L73" s="79"/>
      <c r="M73" s="79"/>
      <c r="N73" s="75">
        <v>411.38</v>
      </c>
      <c r="O73" s="79"/>
      <c r="P73" s="75">
        <f>N73*M70</f>
        <v>65.820800000000006</v>
      </c>
      <c r="Q73" s="75">
        <v>37.756999999999998</v>
      </c>
      <c r="R73" s="75">
        <f>P73*Q73</f>
        <v>2485.1959456</v>
      </c>
    </row>
    <row r="74" spans="1:18" ht="15.6" x14ac:dyDescent="0.3">
      <c r="A74" s="118"/>
      <c r="B74" s="118"/>
      <c r="C74" s="81">
        <v>4</v>
      </c>
      <c r="D74" s="119" t="s">
        <v>35</v>
      </c>
      <c r="E74" s="119"/>
      <c r="F74" s="119"/>
      <c r="G74" s="119"/>
      <c r="H74" s="119"/>
      <c r="I74" s="118"/>
      <c r="J74" s="118"/>
      <c r="K74" s="79"/>
      <c r="L74" s="79"/>
      <c r="M74" s="79"/>
      <c r="N74" s="75">
        <v>1215.72</v>
      </c>
      <c r="O74" s="79"/>
      <c r="P74" s="75">
        <f>N74*M70</f>
        <v>194.51520000000002</v>
      </c>
      <c r="Q74" s="75">
        <v>13.002000000000001</v>
      </c>
      <c r="R74" s="75">
        <f>P74*Q74</f>
        <v>2529.0866304000006</v>
      </c>
    </row>
    <row r="75" spans="1:18" ht="15.6" x14ac:dyDescent="0.3">
      <c r="A75" s="118"/>
      <c r="B75" s="118"/>
      <c r="C75" s="79"/>
      <c r="D75" s="119" t="s">
        <v>36</v>
      </c>
      <c r="E75" s="119"/>
      <c r="F75" s="119"/>
      <c r="G75" s="119"/>
      <c r="H75" s="119"/>
      <c r="I75" s="118"/>
      <c r="J75" s="118"/>
      <c r="K75" s="75">
        <v>91.58</v>
      </c>
      <c r="L75" s="79"/>
      <c r="M75" s="75">
        <f>K75*M70</f>
        <v>14.652799999999999</v>
      </c>
      <c r="N75" s="79"/>
      <c r="O75" s="79"/>
      <c r="P75" s="79"/>
      <c r="Q75" s="79"/>
      <c r="R75" s="80"/>
    </row>
    <row r="76" spans="1:18" ht="15.6" x14ac:dyDescent="0.3">
      <c r="A76" s="118"/>
      <c r="B76" s="118"/>
      <c r="C76" s="79"/>
      <c r="D76" s="119" t="s">
        <v>37</v>
      </c>
      <c r="E76" s="119"/>
      <c r="F76" s="119"/>
      <c r="G76" s="119"/>
      <c r="H76" s="119"/>
      <c r="I76" s="118"/>
      <c r="J76" s="118"/>
      <c r="K76" s="75">
        <v>31.26</v>
      </c>
      <c r="L76" s="79"/>
      <c r="M76" s="75">
        <f>K76*M70</f>
        <v>5.0016000000000007</v>
      </c>
      <c r="N76" s="79"/>
      <c r="O76" s="79"/>
      <c r="P76" s="79"/>
      <c r="Q76" s="79"/>
      <c r="R76" s="80"/>
    </row>
    <row r="77" spans="1:18" ht="15.6" x14ac:dyDescent="0.3">
      <c r="A77" s="118"/>
      <c r="B77" s="118"/>
      <c r="C77" s="79"/>
      <c r="D77" s="119" t="s">
        <v>38</v>
      </c>
      <c r="E77" s="119"/>
      <c r="F77" s="119"/>
      <c r="G77" s="119"/>
      <c r="H77" s="119"/>
      <c r="I77" s="118"/>
      <c r="J77" s="118"/>
      <c r="K77" s="79"/>
      <c r="L77" s="79"/>
      <c r="M77" s="79"/>
      <c r="N77" s="79"/>
      <c r="O77" s="79"/>
      <c r="P77" s="75">
        <f>SUM(P71:P74)</f>
        <v>930.92319999999995</v>
      </c>
      <c r="Q77" s="79"/>
      <c r="R77" s="75">
        <f>SUM(R71:R74)</f>
        <v>21341.292233600001</v>
      </c>
    </row>
    <row r="78" spans="1:18" ht="15.6" x14ac:dyDescent="0.3">
      <c r="A78" s="118"/>
      <c r="B78" s="118"/>
      <c r="C78" s="79"/>
      <c r="D78" s="119" t="s">
        <v>39</v>
      </c>
      <c r="E78" s="119"/>
      <c r="F78" s="119"/>
      <c r="G78" s="119"/>
      <c r="H78" s="119"/>
      <c r="I78" s="118"/>
      <c r="J78" s="118"/>
      <c r="K78" s="79"/>
      <c r="L78" s="79"/>
      <c r="M78" s="79"/>
      <c r="N78" s="79"/>
      <c r="O78" s="79"/>
      <c r="P78" s="75">
        <f>P71+P73</f>
        <v>195.64480000000003</v>
      </c>
      <c r="Q78" s="79"/>
      <c r="R78" s="75">
        <f>R71+R73</f>
        <v>7386.9607135999995</v>
      </c>
    </row>
    <row r="79" spans="1:18" ht="31.2" x14ac:dyDescent="0.3">
      <c r="A79" s="118"/>
      <c r="B79" s="118"/>
      <c r="C79" s="75" t="s">
        <v>40</v>
      </c>
      <c r="D79" s="119" t="s">
        <v>41</v>
      </c>
      <c r="E79" s="119"/>
      <c r="F79" s="119"/>
      <c r="G79" s="119"/>
      <c r="H79" s="119"/>
      <c r="I79" s="120" t="s">
        <v>42</v>
      </c>
      <c r="J79" s="120"/>
      <c r="K79" s="75">
        <v>116</v>
      </c>
      <c r="L79" s="79"/>
      <c r="M79" s="79"/>
      <c r="N79" s="79"/>
      <c r="O79" s="79"/>
      <c r="P79" s="75">
        <f>P78*K79/100</f>
        <v>226.94796800000003</v>
      </c>
      <c r="Q79" s="79"/>
      <c r="R79" s="75">
        <f>R78*K79/100</f>
        <v>8568.8744277759997</v>
      </c>
    </row>
    <row r="80" spans="1:18" ht="31.2" x14ac:dyDescent="0.3">
      <c r="A80" s="118"/>
      <c r="B80" s="118"/>
      <c r="C80" s="75" t="s">
        <v>43</v>
      </c>
      <c r="D80" s="119" t="s">
        <v>44</v>
      </c>
      <c r="E80" s="119"/>
      <c r="F80" s="119"/>
      <c r="G80" s="119"/>
      <c r="H80" s="119"/>
      <c r="I80" s="120" t="s">
        <v>42</v>
      </c>
      <c r="J80" s="120"/>
      <c r="K80" s="75">
        <v>80</v>
      </c>
      <c r="L80" s="79"/>
      <c r="M80" s="79"/>
      <c r="N80" s="79"/>
      <c r="O80" s="79"/>
      <c r="P80" s="75">
        <f>P78*K80/100</f>
        <v>156.51584000000003</v>
      </c>
      <c r="Q80" s="79"/>
      <c r="R80" s="75">
        <f>R78*K80/100</f>
        <v>5909.5685708799992</v>
      </c>
    </row>
    <row r="81" spans="1:18" ht="15.6" x14ac:dyDescent="0.3">
      <c r="A81" s="124"/>
      <c r="B81" s="124"/>
      <c r="C81" s="83" t="s">
        <v>469</v>
      </c>
      <c r="D81" s="125" t="s">
        <v>466</v>
      </c>
      <c r="E81" s="125"/>
      <c r="F81" s="125"/>
      <c r="G81" s="125"/>
      <c r="H81" s="125"/>
      <c r="I81" s="124" t="s">
        <v>53</v>
      </c>
      <c r="J81" s="124"/>
      <c r="K81" s="84">
        <f>1*0.26</f>
        <v>0.26</v>
      </c>
      <c r="L81" s="84"/>
      <c r="M81" s="84"/>
      <c r="N81" s="84">
        <v>253.23</v>
      </c>
      <c r="O81" s="84"/>
      <c r="P81" s="84">
        <f>K81*N81</f>
        <v>65.839799999999997</v>
      </c>
      <c r="Q81" s="84">
        <v>13.002000000000001</v>
      </c>
      <c r="R81" s="84">
        <f>P81*Q81</f>
        <v>856.04907960000003</v>
      </c>
    </row>
    <row r="82" spans="1:18" ht="15.6" x14ac:dyDescent="0.3">
      <c r="A82" s="124"/>
      <c r="B82" s="124"/>
      <c r="C82" s="83" t="s">
        <v>470</v>
      </c>
      <c r="D82" s="125" t="s">
        <v>467</v>
      </c>
      <c r="E82" s="125"/>
      <c r="F82" s="125"/>
      <c r="G82" s="125"/>
      <c r="H82" s="125"/>
      <c r="I82" s="124" t="s">
        <v>53</v>
      </c>
      <c r="J82" s="124"/>
      <c r="K82" s="84">
        <f>5*0.42</f>
        <v>2.1</v>
      </c>
      <c r="L82" s="84"/>
      <c r="M82" s="84"/>
      <c r="N82" s="84">
        <v>347.48</v>
      </c>
      <c r="O82" s="84"/>
      <c r="P82" s="84">
        <f>K82*N82</f>
        <v>729.70800000000008</v>
      </c>
      <c r="Q82" s="84">
        <v>13.002000000000001</v>
      </c>
      <c r="R82" s="84">
        <f>P82*Q82</f>
        <v>9487.6634160000012</v>
      </c>
    </row>
    <row r="83" spans="1:18" ht="15.6" x14ac:dyDescent="0.3">
      <c r="A83" s="124"/>
      <c r="B83" s="124"/>
      <c r="C83" s="83" t="s">
        <v>471</v>
      </c>
      <c r="D83" s="125" t="s">
        <v>468</v>
      </c>
      <c r="E83" s="125"/>
      <c r="F83" s="125"/>
      <c r="G83" s="125"/>
      <c r="H83" s="125"/>
      <c r="I83" s="124" t="s">
        <v>53</v>
      </c>
      <c r="J83" s="124"/>
      <c r="K83" s="84">
        <f>10*0.27</f>
        <v>2.7</v>
      </c>
      <c r="L83" s="84"/>
      <c r="M83" s="84"/>
      <c r="N83" s="84">
        <v>223.68</v>
      </c>
      <c r="O83" s="84"/>
      <c r="P83" s="84">
        <f>K83*N83</f>
        <v>603.93600000000004</v>
      </c>
      <c r="Q83" s="84">
        <v>13.002000000000001</v>
      </c>
      <c r="R83" s="84">
        <f>P83*Q83</f>
        <v>7852.3758720000005</v>
      </c>
    </row>
    <row r="84" spans="1:18" ht="15.6" x14ac:dyDescent="0.3">
      <c r="A84" s="118"/>
      <c r="B84" s="118"/>
      <c r="C84" s="79"/>
      <c r="D84" s="119" t="s">
        <v>45</v>
      </c>
      <c r="E84" s="119"/>
      <c r="F84" s="119"/>
      <c r="G84" s="119"/>
      <c r="H84" s="119"/>
      <c r="I84" s="118"/>
      <c r="J84" s="118"/>
      <c r="K84" s="79"/>
      <c r="L84" s="79"/>
      <c r="M84" s="79"/>
      <c r="N84" s="79"/>
      <c r="O84" s="79"/>
      <c r="P84" s="75">
        <f>P80+P79+P77+P83+P81+P82</f>
        <v>2713.8708080000006</v>
      </c>
      <c r="Q84" s="79"/>
      <c r="R84" s="75">
        <f>R80+R79+R77+R83+R81+R82</f>
        <v>54015.823599856012</v>
      </c>
    </row>
    <row r="85" spans="1:18" ht="31.2" x14ac:dyDescent="0.3">
      <c r="A85" s="121" t="s">
        <v>406</v>
      </c>
      <c r="B85" s="121"/>
      <c r="C85" s="75" t="s">
        <v>60</v>
      </c>
      <c r="D85" s="120" t="s">
        <v>59</v>
      </c>
      <c r="E85" s="120"/>
      <c r="F85" s="120"/>
      <c r="G85" s="120"/>
      <c r="H85" s="120"/>
      <c r="I85" s="122" t="s">
        <v>52</v>
      </c>
      <c r="J85" s="122"/>
      <c r="K85" s="76">
        <v>0.28000000000000003</v>
      </c>
      <c r="L85" s="77">
        <v>1</v>
      </c>
      <c r="M85" s="77">
        <f>K85</f>
        <v>0.28000000000000003</v>
      </c>
      <c r="N85" s="78"/>
      <c r="O85" s="79"/>
      <c r="P85" s="79"/>
      <c r="Q85" s="79"/>
      <c r="R85" s="80"/>
    </row>
    <row r="86" spans="1:18" ht="15.6" x14ac:dyDescent="0.3">
      <c r="A86" s="118"/>
      <c r="B86" s="118"/>
      <c r="C86" s="81">
        <v>1</v>
      </c>
      <c r="D86" s="119" t="s">
        <v>32</v>
      </c>
      <c r="E86" s="119"/>
      <c r="F86" s="119"/>
      <c r="G86" s="119"/>
      <c r="H86" s="119"/>
      <c r="I86" s="118"/>
      <c r="J86" s="118"/>
      <c r="K86" s="79"/>
      <c r="L86" s="79"/>
      <c r="M86" s="79"/>
      <c r="N86" s="75">
        <v>1218.19</v>
      </c>
      <c r="O86" s="79"/>
      <c r="P86" s="75">
        <f>M85*N86</f>
        <v>341.09320000000002</v>
      </c>
      <c r="Q86" s="75">
        <v>37.756999999999998</v>
      </c>
      <c r="R86" s="75">
        <f>P86*Q86</f>
        <v>12878.6559524</v>
      </c>
    </row>
    <row r="87" spans="1:18" ht="15.6" x14ac:dyDescent="0.3">
      <c r="A87" s="118"/>
      <c r="B87" s="118"/>
      <c r="C87" s="81">
        <v>3</v>
      </c>
      <c r="D87" s="119" t="s">
        <v>33</v>
      </c>
      <c r="E87" s="119"/>
      <c r="F87" s="119"/>
      <c r="G87" s="119"/>
      <c r="H87" s="119"/>
      <c r="I87" s="118"/>
      <c r="J87" s="118"/>
      <c r="K87" s="79"/>
      <c r="L87" s="79"/>
      <c r="M87" s="79"/>
      <c r="N87" s="75">
        <v>5106.7</v>
      </c>
      <c r="O87" s="79"/>
      <c r="P87" s="75">
        <f>N87*M85</f>
        <v>1429.876</v>
      </c>
      <c r="Q87" s="82">
        <v>21.128</v>
      </c>
      <c r="R87" s="75">
        <f>P87*Q87</f>
        <v>30210.420127999998</v>
      </c>
    </row>
    <row r="88" spans="1:18" ht="15.6" x14ac:dyDescent="0.3">
      <c r="A88" s="118"/>
      <c r="B88" s="118"/>
      <c r="C88" s="81">
        <v>2</v>
      </c>
      <c r="D88" s="119" t="s">
        <v>34</v>
      </c>
      <c r="E88" s="119"/>
      <c r="F88" s="119"/>
      <c r="G88" s="119"/>
      <c r="H88" s="119"/>
      <c r="I88" s="118"/>
      <c r="J88" s="118"/>
      <c r="K88" s="79"/>
      <c r="L88" s="79"/>
      <c r="M88" s="79"/>
      <c r="N88" s="75">
        <v>575.23</v>
      </c>
      <c r="O88" s="79"/>
      <c r="P88" s="75">
        <f>N88*M85</f>
        <v>161.06440000000001</v>
      </c>
      <c r="Q88" s="75">
        <v>37.756999999999998</v>
      </c>
      <c r="R88" s="75">
        <f>P88*Q88</f>
        <v>6081.3085507999995</v>
      </c>
    </row>
    <row r="89" spans="1:18" ht="15.6" x14ac:dyDescent="0.3">
      <c r="A89" s="118"/>
      <c r="B89" s="118"/>
      <c r="C89" s="81">
        <v>4</v>
      </c>
      <c r="D89" s="119" t="s">
        <v>35</v>
      </c>
      <c r="E89" s="119"/>
      <c r="F89" s="119"/>
      <c r="G89" s="119"/>
      <c r="H89" s="119"/>
      <c r="I89" s="118"/>
      <c r="J89" s="118"/>
      <c r="K89" s="79"/>
      <c r="L89" s="79"/>
      <c r="M89" s="79"/>
      <c r="N89" s="75">
        <v>1845.68</v>
      </c>
      <c r="O89" s="79"/>
      <c r="P89" s="75">
        <f>N89*M85</f>
        <v>516.79040000000009</v>
      </c>
      <c r="Q89" s="75">
        <v>13.002000000000001</v>
      </c>
      <c r="R89" s="75">
        <f>P89*Q89</f>
        <v>6719.3087808000018</v>
      </c>
    </row>
    <row r="90" spans="1:18" ht="15.6" x14ac:dyDescent="0.3">
      <c r="A90" s="118"/>
      <c r="B90" s="118"/>
      <c r="C90" s="79"/>
      <c r="D90" s="119" t="s">
        <v>36</v>
      </c>
      <c r="E90" s="119"/>
      <c r="F90" s="119"/>
      <c r="G90" s="119"/>
      <c r="H90" s="119"/>
      <c r="I90" s="118"/>
      <c r="J90" s="118"/>
      <c r="K90" s="75">
        <v>134.31</v>
      </c>
      <c r="L90" s="79"/>
      <c r="M90" s="75">
        <f>K90*M85</f>
        <v>37.606800000000007</v>
      </c>
      <c r="N90" s="79"/>
      <c r="O90" s="79"/>
      <c r="P90" s="79"/>
      <c r="Q90" s="79"/>
      <c r="R90" s="80"/>
    </row>
    <row r="91" spans="1:18" ht="15.6" x14ac:dyDescent="0.3">
      <c r="A91" s="118"/>
      <c r="B91" s="118"/>
      <c r="C91" s="79"/>
      <c r="D91" s="119" t="s">
        <v>37</v>
      </c>
      <c r="E91" s="119"/>
      <c r="F91" s="119"/>
      <c r="G91" s="119"/>
      <c r="H91" s="119"/>
      <c r="I91" s="118"/>
      <c r="J91" s="118"/>
      <c r="K91" s="75">
        <v>43.81</v>
      </c>
      <c r="L91" s="79"/>
      <c r="M91" s="75">
        <f>K91*M85</f>
        <v>12.266800000000002</v>
      </c>
      <c r="N91" s="79"/>
      <c r="O91" s="79"/>
      <c r="P91" s="79"/>
      <c r="Q91" s="79"/>
      <c r="R91" s="80"/>
    </row>
    <row r="92" spans="1:18" ht="15.6" x14ac:dyDescent="0.3">
      <c r="A92" s="118"/>
      <c r="B92" s="118"/>
      <c r="C92" s="79"/>
      <c r="D92" s="119" t="s">
        <v>38</v>
      </c>
      <c r="E92" s="119"/>
      <c r="F92" s="119"/>
      <c r="G92" s="119"/>
      <c r="H92" s="119"/>
      <c r="I92" s="118"/>
      <c r="J92" s="118"/>
      <c r="K92" s="79"/>
      <c r="L92" s="79"/>
      <c r="M92" s="79"/>
      <c r="N92" s="79"/>
      <c r="O92" s="79"/>
      <c r="P92" s="75">
        <f>SUM(P86:P89)</f>
        <v>2448.8240000000001</v>
      </c>
      <c r="Q92" s="79"/>
      <c r="R92" s="75">
        <f>SUM(R86:R89)</f>
        <v>55889.693412000008</v>
      </c>
    </row>
    <row r="93" spans="1:18" ht="15.6" x14ac:dyDescent="0.3">
      <c r="A93" s="118"/>
      <c r="B93" s="118"/>
      <c r="C93" s="79"/>
      <c r="D93" s="119" t="s">
        <v>39</v>
      </c>
      <c r="E93" s="119"/>
      <c r="F93" s="119"/>
      <c r="G93" s="119"/>
      <c r="H93" s="119"/>
      <c r="I93" s="118"/>
      <c r="J93" s="118"/>
      <c r="K93" s="79"/>
      <c r="L93" s="79"/>
      <c r="M93" s="79"/>
      <c r="N93" s="79"/>
      <c r="O93" s="79"/>
      <c r="P93" s="75">
        <f>P86+P88</f>
        <v>502.1576</v>
      </c>
      <c r="Q93" s="79"/>
      <c r="R93" s="75">
        <f>R86+R88</f>
        <v>18959.964503200001</v>
      </c>
    </row>
    <row r="94" spans="1:18" ht="31.2" x14ac:dyDescent="0.3">
      <c r="A94" s="118"/>
      <c r="B94" s="118"/>
      <c r="C94" s="75" t="s">
        <v>40</v>
      </c>
      <c r="D94" s="119" t="s">
        <v>41</v>
      </c>
      <c r="E94" s="119"/>
      <c r="F94" s="119"/>
      <c r="G94" s="119"/>
      <c r="H94" s="119"/>
      <c r="I94" s="120" t="s">
        <v>42</v>
      </c>
      <c r="J94" s="120"/>
      <c r="K94" s="75">
        <v>116</v>
      </c>
      <c r="L94" s="79"/>
      <c r="M94" s="79"/>
      <c r="N94" s="79"/>
      <c r="O94" s="79"/>
      <c r="P94" s="75">
        <f>P93*K94/100</f>
        <v>582.50281600000005</v>
      </c>
      <c r="Q94" s="79"/>
      <c r="R94" s="75">
        <f>R93*K94/100</f>
        <v>21993.558823712003</v>
      </c>
    </row>
    <row r="95" spans="1:18" ht="31.2" x14ac:dyDescent="0.3">
      <c r="A95" s="118"/>
      <c r="B95" s="118"/>
      <c r="C95" s="75" t="s">
        <v>43</v>
      </c>
      <c r="D95" s="119" t="s">
        <v>44</v>
      </c>
      <c r="E95" s="119"/>
      <c r="F95" s="119"/>
      <c r="G95" s="119"/>
      <c r="H95" s="119"/>
      <c r="I95" s="120" t="s">
        <v>42</v>
      </c>
      <c r="J95" s="120"/>
      <c r="K95" s="75">
        <v>80</v>
      </c>
      <c r="L95" s="79"/>
      <c r="M95" s="79"/>
      <c r="N95" s="79"/>
      <c r="O95" s="79"/>
      <c r="P95" s="75">
        <f>P93*K95/100</f>
        <v>401.72608000000002</v>
      </c>
      <c r="Q95" s="79"/>
      <c r="R95" s="75">
        <f>R93*K95/100</f>
        <v>15167.971602559999</v>
      </c>
    </row>
    <row r="96" spans="1:18" ht="21" customHeight="1" x14ac:dyDescent="0.3">
      <c r="A96" s="124"/>
      <c r="B96" s="124"/>
      <c r="C96" s="85" t="s">
        <v>474</v>
      </c>
      <c r="D96" s="126" t="s">
        <v>472</v>
      </c>
      <c r="E96" s="126"/>
      <c r="F96" s="126"/>
      <c r="G96" s="126"/>
      <c r="H96" s="126"/>
      <c r="I96" s="124" t="s">
        <v>53</v>
      </c>
      <c r="J96" s="124"/>
      <c r="K96" s="84">
        <f>16*0.86</f>
        <v>13.76</v>
      </c>
      <c r="L96" s="84"/>
      <c r="M96" s="84"/>
      <c r="N96" s="84">
        <v>832.83</v>
      </c>
      <c r="O96" s="84"/>
      <c r="P96" s="84">
        <f>K96*N96</f>
        <v>11459.7408</v>
      </c>
      <c r="Q96" s="84">
        <v>13.002000000000001</v>
      </c>
      <c r="R96" s="84">
        <f>P96*Q96</f>
        <v>148999.54988159999</v>
      </c>
    </row>
    <row r="97" spans="1:18" ht="15.6" x14ac:dyDescent="0.3">
      <c r="A97" s="124"/>
      <c r="B97" s="124"/>
      <c r="C97" s="83" t="s">
        <v>475</v>
      </c>
      <c r="D97" s="125" t="s">
        <v>473</v>
      </c>
      <c r="E97" s="125"/>
      <c r="F97" s="125"/>
      <c r="G97" s="125"/>
      <c r="H97" s="125"/>
      <c r="I97" s="124" t="s">
        <v>53</v>
      </c>
      <c r="J97" s="124"/>
      <c r="K97" s="84">
        <f>4*0.76</f>
        <v>3.04</v>
      </c>
      <c r="L97" s="84"/>
      <c r="M97" s="84"/>
      <c r="N97" s="84">
        <v>731.54</v>
      </c>
      <c r="O97" s="84"/>
      <c r="P97" s="84">
        <f>K97*N97</f>
        <v>2223.8815999999997</v>
      </c>
      <c r="Q97" s="84">
        <v>13.002000000000001</v>
      </c>
      <c r="R97" s="84">
        <f>P97*Q97</f>
        <v>28914.908563199999</v>
      </c>
    </row>
    <row r="98" spans="1:18" ht="15.6" x14ac:dyDescent="0.3">
      <c r="A98" s="118"/>
      <c r="B98" s="118"/>
      <c r="C98" s="79"/>
      <c r="D98" s="119" t="s">
        <v>45</v>
      </c>
      <c r="E98" s="119"/>
      <c r="F98" s="119"/>
      <c r="G98" s="119"/>
      <c r="H98" s="119"/>
      <c r="I98" s="118"/>
      <c r="J98" s="118"/>
      <c r="K98" s="79"/>
      <c r="L98" s="79"/>
      <c r="M98" s="79"/>
      <c r="N98" s="79"/>
      <c r="O98" s="79"/>
      <c r="P98" s="75">
        <f>P95+P94+P92+P96+P97</f>
        <v>17116.675296000001</v>
      </c>
      <c r="Q98" s="79"/>
      <c r="R98" s="75">
        <f>R95+R94+R92+R96+R97</f>
        <v>270965.68228307198</v>
      </c>
    </row>
    <row r="99" spans="1:18" ht="31.2" customHeight="1" x14ac:dyDescent="0.3">
      <c r="A99" s="121" t="s">
        <v>61</v>
      </c>
      <c r="B99" s="121"/>
      <c r="C99" s="75" t="s">
        <v>51</v>
      </c>
      <c r="D99" s="120" t="s">
        <v>481</v>
      </c>
      <c r="E99" s="120"/>
      <c r="F99" s="120"/>
      <c r="G99" s="120"/>
      <c r="H99" s="120"/>
      <c r="I99" s="122" t="s">
        <v>52</v>
      </c>
      <c r="J99" s="122"/>
      <c r="K99" s="76">
        <v>0.26</v>
      </c>
      <c r="L99" s="77">
        <v>1</v>
      </c>
      <c r="M99" s="77">
        <f>K99</f>
        <v>0.26</v>
      </c>
      <c r="N99" s="78"/>
      <c r="O99" s="79"/>
      <c r="P99" s="79"/>
      <c r="Q99" s="79"/>
      <c r="R99" s="80"/>
    </row>
    <row r="100" spans="1:18" ht="15.6" customHeight="1" x14ac:dyDescent="0.3">
      <c r="A100" s="118"/>
      <c r="B100" s="118"/>
      <c r="C100" s="81">
        <v>1</v>
      </c>
      <c r="D100" s="119" t="s">
        <v>32</v>
      </c>
      <c r="E100" s="119"/>
      <c r="F100" s="119"/>
      <c r="G100" s="119"/>
      <c r="H100" s="119"/>
      <c r="I100" s="118"/>
      <c r="J100" s="118"/>
      <c r="K100" s="79"/>
      <c r="L100" s="79"/>
      <c r="M100" s="79"/>
      <c r="N100" s="75">
        <v>811.4</v>
      </c>
      <c r="O100" s="79"/>
      <c r="P100" s="75">
        <f>M99*N100</f>
        <v>210.964</v>
      </c>
      <c r="Q100" s="75">
        <v>37.756999999999998</v>
      </c>
      <c r="R100" s="75">
        <f>P100*Q100</f>
        <v>7965.3677479999997</v>
      </c>
    </row>
    <row r="101" spans="1:18" ht="15.6" customHeight="1" x14ac:dyDescent="0.3">
      <c r="A101" s="118"/>
      <c r="B101" s="118"/>
      <c r="C101" s="81">
        <v>3</v>
      </c>
      <c r="D101" s="119" t="s">
        <v>33</v>
      </c>
      <c r="E101" s="119"/>
      <c r="F101" s="119"/>
      <c r="G101" s="119"/>
      <c r="H101" s="119"/>
      <c r="I101" s="118"/>
      <c r="J101" s="118"/>
      <c r="K101" s="79"/>
      <c r="L101" s="79"/>
      <c r="M101" s="79"/>
      <c r="N101" s="75">
        <v>3386.47</v>
      </c>
      <c r="O101" s="79"/>
      <c r="P101" s="75">
        <f>N101*M99</f>
        <v>880.48220000000003</v>
      </c>
      <c r="Q101" s="82">
        <v>21.128</v>
      </c>
      <c r="R101" s="75">
        <f>P101*Q101</f>
        <v>18602.827921600001</v>
      </c>
    </row>
    <row r="102" spans="1:18" ht="15.6" customHeight="1" x14ac:dyDescent="0.3">
      <c r="A102" s="118"/>
      <c r="B102" s="118"/>
      <c r="C102" s="81">
        <v>2</v>
      </c>
      <c r="D102" s="119" t="s">
        <v>34</v>
      </c>
      <c r="E102" s="119"/>
      <c r="F102" s="119"/>
      <c r="G102" s="119"/>
      <c r="H102" s="119"/>
      <c r="I102" s="118"/>
      <c r="J102" s="118"/>
      <c r="K102" s="79"/>
      <c r="L102" s="79"/>
      <c r="M102" s="79"/>
      <c r="N102" s="75">
        <v>411.38</v>
      </c>
      <c r="O102" s="79"/>
      <c r="P102" s="75">
        <f>N102*M99</f>
        <v>106.9588</v>
      </c>
      <c r="Q102" s="75">
        <v>37.756999999999998</v>
      </c>
      <c r="R102" s="75">
        <f>P102*Q102</f>
        <v>4038.4434115999998</v>
      </c>
    </row>
    <row r="103" spans="1:18" ht="15.6" customHeight="1" x14ac:dyDescent="0.3">
      <c r="A103" s="118"/>
      <c r="B103" s="118"/>
      <c r="C103" s="81">
        <v>4</v>
      </c>
      <c r="D103" s="119" t="s">
        <v>35</v>
      </c>
      <c r="E103" s="119"/>
      <c r="F103" s="119"/>
      <c r="G103" s="119"/>
      <c r="H103" s="119"/>
      <c r="I103" s="118"/>
      <c r="J103" s="118"/>
      <c r="K103" s="79"/>
      <c r="L103" s="79"/>
      <c r="M103" s="79"/>
      <c r="N103" s="75">
        <v>1215.72</v>
      </c>
      <c r="O103" s="79"/>
      <c r="P103" s="75">
        <f>N103*M99</f>
        <v>316.0872</v>
      </c>
      <c r="Q103" s="75">
        <v>13.002000000000001</v>
      </c>
      <c r="R103" s="75">
        <f>P103*Q103</f>
        <v>4109.7657743999998</v>
      </c>
    </row>
    <row r="104" spans="1:18" ht="15.6" customHeight="1" x14ac:dyDescent="0.3">
      <c r="A104" s="118"/>
      <c r="B104" s="118"/>
      <c r="C104" s="79"/>
      <c r="D104" s="119" t="s">
        <v>36</v>
      </c>
      <c r="E104" s="119"/>
      <c r="F104" s="119"/>
      <c r="G104" s="119"/>
      <c r="H104" s="119"/>
      <c r="I104" s="118"/>
      <c r="J104" s="118"/>
      <c r="K104" s="75">
        <v>91.58</v>
      </c>
      <c r="L104" s="79"/>
      <c r="M104" s="75">
        <f>K104*M99</f>
        <v>23.8108</v>
      </c>
      <c r="N104" s="79"/>
      <c r="O104" s="79"/>
      <c r="P104" s="79"/>
      <c r="Q104" s="79"/>
      <c r="R104" s="80"/>
    </row>
    <row r="105" spans="1:18" ht="15.6" customHeight="1" x14ac:dyDescent="0.3">
      <c r="A105" s="118"/>
      <c r="B105" s="118"/>
      <c r="C105" s="79"/>
      <c r="D105" s="119" t="s">
        <v>37</v>
      </c>
      <c r="E105" s="119"/>
      <c r="F105" s="119"/>
      <c r="G105" s="119"/>
      <c r="H105" s="119"/>
      <c r="I105" s="118"/>
      <c r="J105" s="118"/>
      <c r="K105" s="75">
        <v>31.26</v>
      </c>
      <c r="L105" s="79"/>
      <c r="M105" s="75">
        <f>K105*M99</f>
        <v>8.127600000000001</v>
      </c>
      <c r="N105" s="79"/>
      <c r="O105" s="79"/>
      <c r="P105" s="79"/>
      <c r="Q105" s="79"/>
      <c r="R105" s="80"/>
    </row>
    <row r="106" spans="1:18" ht="15.6" customHeight="1" x14ac:dyDescent="0.3">
      <c r="A106" s="118"/>
      <c r="B106" s="118"/>
      <c r="C106" s="79"/>
      <c r="D106" s="119" t="s">
        <v>38</v>
      </c>
      <c r="E106" s="119"/>
      <c r="F106" s="119"/>
      <c r="G106" s="119"/>
      <c r="H106" s="119"/>
      <c r="I106" s="118"/>
      <c r="J106" s="118"/>
      <c r="K106" s="79"/>
      <c r="L106" s="79"/>
      <c r="M106" s="79"/>
      <c r="N106" s="79"/>
      <c r="O106" s="79"/>
      <c r="P106" s="75">
        <f>SUM(P100:P103)</f>
        <v>1514.4922000000001</v>
      </c>
      <c r="Q106" s="79"/>
      <c r="R106" s="75">
        <f>SUM(R100:R103)</f>
        <v>34716.404855600005</v>
      </c>
    </row>
    <row r="107" spans="1:18" ht="15.6" customHeight="1" x14ac:dyDescent="0.3">
      <c r="A107" s="118"/>
      <c r="B107" s="118"/>
      <c r="C107" s="79"/>
      <c r="D107" s="119" t="s">
        <v>39</v>
      </c>
      <c r="E107" s="119"/>
      <c r="F107" s="119"/>
      <c r="G107" s="119"/>
      <c r="H107" s="119"/>
      <c r="I107" s="118"/>
      <c r="J107" s="118"/>
      <c r="K107" s="79"/>
      <c r="L107" s="79"/>
      <c r="M107" s="79"/>
      <c r="N107" s="79"/>
      <c r="O107" s="79"/>
      <c r="P107" s="75">
        <f>P100+P102</f>
        <v>317.9228</v>
      </c>
      <c r="Q107" s="79"/>
      <c r="R107" s="75">
        <f>R100+R102</f>
        <v>12003.8111596</v>
      </c>
    </row>
    <row r="108" spans="1:18" ht="31.2" customHeight="1" x14ac:dyDescent="0.3">
      <c r="A108" s="118"/>
      <c r="B108" s="118"/>
      <c r="C108" s="75" t="s">
        <v>40</v>
      </c>
      <c r="D108" s="119" t="s">
        <v>41</v>
      </c>
      <c r="E108" s="119"/>
      <c r="F108" s="119"/>
      <c r="G108" s="119"/>
      <c r="H108" s="119"/>
      <c r="I108" s="120" t="s">
        <v>42</v>
      </c>
      <c r="J108" s="120"/>
      <c r="K108" s="75">
        <v>116</v>
      </c>
      <c r="L108" s="79"/>
      <c r="M108" s="79"/>
      <c r="N108" s="79"/>
      <c r="O108" s="79"/>
      <c r="P108" s="75">
        <f>P107*K108/100</f>
        <v>368.79044799999997</v>
      </c>
      <c r="Q108" s="79"/>
      <c r="R108" s="75">
        <f>R107*K108/100</f>
        <v>13924.420945136</v>
      </c>
    </row>
    <row r="109" spans="1:18" ht="31.2" customHeight="1" x14ac:dyDescent="0.3">
      <c r="A109" s="118"/>
      <c r="B109" s="118"/>
      <c r="C109" s="75" t="s">
        <v>43</v>
      </c>
      <c r="D109" s="119" t="s">
        <v>44</v>
      </c>
      <c r="E109" s="119"/>
      <c r="F109" s="119"/>
      <c r="G109" s="119"/>
      <c r="H109" s="119"/>
      <c r="I109" s="120" t="s">
        <v>42</v>
      </c>
      <c r="J109" s="120"/>
      <c r="K109" s="75">
        <v>80</v>
      </c>
      <c r="L109" s="79"/>
      <c r="M109" s="79"/>
      <c r="N109" s="79"/>
      <c r="O109" s="79"/>
      <c r="P109" s="75">
        <f>P107*K109/100</f>
        <v>254.33824000000001</v>
      </c>
      <c r="Q109" s="79"/>
      <c r="R109" s="75">
        <f>R107*K109/100</f>
        <v>9603.0489276799999</v>
      </c>
    </row>
    <row r="110" spans="1:18" ht="15.6" x14ac:dyDescent="0.3">
      <c r="A110" s="124"/>
      <c r="B110" s="124"/>
      <c r="C110" s="83" t="s">
        <v>478</v>
      </c>
      <c r="D110" s="125" t="s">
        <v>476</v>
      </c>
      <c r="E110" s="125"/>
      <c r="F110" s="125"/>
      <c r="G110" s="125"/>
      <c r="H110" s="125"/>
      <c r="I110" s="124" t="s">
        <v>53</v>
      </c>
      <c r="J110" s="124"/>
      <c r="K110" s="84">
        <f>6*0.39</f>
        <v>2.34</v>
      </c>
      <c r="L110" s="84"/>
      <c r="M110" s="84"/>
      <c r="N110" s="84">
        <v>682</v>
      </c>
      <c r="O110" s="84"/>
      <c r="P110" s="84">
        <f>K110*N110</f>
        <v>1595.8799999999999</v>
      </c>
      <c r="Q110" s="84">
        <v>13.002000000000001</v>
      </c>
      <c r="R110" s="84">
        <f>P110*Q110</f>
        <v>20749.63176</v>
      </c>
    </row>
    <row r="111" spans="1:18" ht="15.6" x14ac:dyDescent="0.3">
      <c r="A111" s="124"/>
      <c r="B111" s="124"/>
      <c r="C111" s="83" t="s">
        <v>478</v>
      </c>
      <c r="D111" s="125" t="s">
        <v>477</v>
      </c>
      <c r="E111" s="125"/>
      <c r="F111" s="125"/>
      <c r="G111" s="125"/>
      <c r="H111" s="125"/>
      <c r="I111" s="124" t="s">
        <v>53</v>
      </c>
      <c r="J111" s="124"/>
      <c r="K111" s="84">
        <f>4*0.27</f>
        <v>1.08</v>
      </c>
      <c r="L111" s="84"/>
      <c r="M111" s="84"/>
      <c r="N111" s="84">
        <v>682</v>
      </c>
      <c r="O111" s="84"/>
      <c r="P111" s="84">
        <f>K111*N111</f>
        <v>736.56000000000006</v>
      </c>
      <c r="Q111" s="84">
        <v>13</v>
      </c>
      <c r="R111" s="84">
        <f>P111*Q111</f>
        <v>9575.2800000000007</v>
      </c>
    </row>
    <row r="112" spans="1:18" ht="15.6" x14ac:dyDescent="0.3">
      <c r="A112" s="124"/>
      <c r="B112" s="124"/>
      <c r="C112" s="83" t="s">
        <v>478</v>
      </c>
      <c r="D112" s="125" t="s">
        <v>479</v>
      </c>
      <c r="E112" s="125"/>
      <c r="F112" s="125"/>
      <c r="G112" s="125"/>
      <c r="H112" s="125"/>
      <c r="I112" s="124" t="s">
        <v>53</v>
      </c>
      <c r="J112" s="124"/>
      <c r="K112" s="84">
        <f>12*0.26</f>
        <v>3.12</v>
      </c>
      <c r="L112" s="84"/>
      <c r="M112" s="84"/>
      <c r="N112" s="84">
        <v>682</v>
      </c>
      <c r="O112" s="84"/>
      <c r="P112" s="84">
        <f>K112*N112</f>
        <v>2127.84</v>
      </c>
      <c r="Q112" s="84">
        <v>13</v>
      </c>
      <c r="R112" s="84">
        <f>P112*Q112</f>
        <v>27661.920000000002</v>
      </c>
    </row>
    <row r="113" spans="1:18" ht="15.6" x14ac:dyDescent="0.3">
      <c r="A113" s="124"/>
      <c r="B113" s="124"/>
      <c r="C113" s="83" t="s">
        <v>478</v>
      </c>
      <c r="D113" s="125" t="s">
        <v>480</v>
      </c>
      <c r="E113" s="125"/>
      <c r="F113" s="125"/>
      <c r="G113" s="125"/>
      <c r="H113" s="125"/>
      <c r="I113" s="124" t="s">
        <v>53</v>
      </c>
      <c r="J113" s="124"/>
      <c r="K113" s="84">
        <f>18*0.19</f>
        <v>3.42</v>
      </c>
      <c r="L113" s="84"/>
      <c r="M113" s="84"/>
      <c r="N113" s="84">
        <v>682</v>
      </c>
      <c r="O113" s="84"/>
      <c r="P113" s="84">
        <f>K113*N113</f>
        <v>2332.44</v>
      </c>
      <c r="Q113" s="84">
        <v>13.002000000000001</v>
      </c>
      <c r="R113" s="84">
        <f>P113*Q113</f>
        <v>30326.384880000001</v>
      </c>
    </row>
    <row r="114" spans="1:18" ht="15.6" customHeight="1" x14ac:dyDescent="0.3">
      <c r="A114" s="118"/>
      <c r="B114" s="118"/>
      <c r="C114" s="79"/>
      <c r="D114" s="119" t="s">
        <v>45</v>
      </c>
      <c r="E114" s="119"/>
      <c r="F114" s="119"/>
      <c r="G114" s="119"/>
      <c r="H114" s="119"/>
      <c r="I114" s="118"/>
      <c r="J114" s="118"/>
      <c r="K114" s="79"/>
      <c r="L114" s="79"/>
      <c r="M114" s="79"/>
      <c r="N114" s="79"/>
      <c r="O114" s="79"/>
      <c r="P114" s="75">
        <f>P109+P108+P106+P113+P110+P111+P112</f>
        <v>8930.3408880000006</v>
      </c>
      <c r="Q114" s="79"/>
      <c r="R114" s="75">
        <f>R109+R108+R106+R113+R110+R111+R112</f>
        <v>146557.091368416</v>
      </c>
    </row>
    <row r="115" spans="1:18" ht="31.2" x14ac:dyDescent="0.3">
      <c r="A115" s="121" t="s">
        <v>62</v>
      </c>
      <c r="B115" s="121"/>
      <c r="C115" s="75" t="s">
        <v>60</v>
      </c>
      <c r="D115" s="120" t="s">
        <v>483</v>
      </c>
      <c r="E115" s="120"/>
      <c r="F115" s="120"/>
      <c r="G115" s="120"/>
      <c r="H115" s="120"/>
      <c r="I115" s="122" t="s">
        <v>52</v>
      </c>
      <c r="J115" s="122"/>
      <c r="K115" s="76">
        <v>0.28000000000000003</v>
      </c>
      <c r="L115" s="77">
        <v>1</v>
      </c>
      <c r="M115" s="77">
        <f>K115</f>
        <v>0.28000000000000003</v>
      </c>
      <c r="N115" s="78"/>
      <c r="O115" s="79"/>
      <c r="P115" s="79"/>
      <c r="Q115" s="79"/>
      <c r="R115" s="80"/>
    </row>
    <row r="116" spans="1:18" ht="15.6" x14ac:dyDescent="0.3">
      <c r="A116" s="118"/>
      <c r="B116" s="118"/>
      <c r="C116" s="81">
        <v>1</v>
      </c>
      <c r="D116" s="119" t="s">
        <v>32</v>
      </c>
      <c r="E116" s="119"/>
      <c r="F116" s="119"/>
      <c r="G116" s="119"/>
      <c r="H116" s="119"/>
      <c r="I116" s="118"/>
      <c r="J116" s="118"/>
      <c r="K116" s="79"/>
      <c r="L116" s="79"/>
      <c r="M116" s="79"/>
      <c r="N116" s="75">
        <v>1218.19</v>
      </c>
      <c r="O116" s="79"/>
      <c r="P116" s="75">
        <f>M115*N116</f>
        <v>341.09320000000002</v>
      </c>
      <c r="Q116" s="75">
        <v>37.756999999999998</v>
      </c>
      <c r="R116" s="75">
        <f>P116*Q116</f>
        <v>12878.6559524</v>
      </c>
    </row>
    <row r="117" spans="1:18" ht="15.6" x14ac:dyDescent="0.3">
      <c r="A117" s="118"/>
      <c r="B117" s="118"/>
      <c r="C117" s="81">
        <v>3</v>
      </c>
      <c r="D117" s="119" t="s">
        <v>33</v>
      </c>
      <c r="E117" s="119"/>
      <c r="F117" s="119"/>
      <c r="G117" s="119"/>
      <c r="H117" s="119"/>
      <c r="I117" s="118"/>
      <c r="J117" s="118"/>
      <c r="K117" s="79"/>
      <c r="L117" s="79"/>
      <c r="M117" s="79"/>
      <c r="N117" s="75">
        <v>5116.2299999999996</v>
      </c>
      <c r="O117" s="79"/>
      <c r="P117" s="75">
        <f>N117*M115</f>
        <v>1432.5444</v>
      </c>
      <c r="Q117" s="82">
        <v>21.128</v>
      </c>
      <c r="R117" s="75">
        <f>P117*Q117</f>
        <v>30266.798083199999</v>
      </c>
    </row>
    <row r="118" spans="1:18" ht="15.6" x14ac:dyDescent="0.3">
      <c r="A118" s="118"/>
      <c r="B118" s="118"/>
      <c r="C118" s="81">
        <v>2</v>
      </c>
      <c r="D118" s="119" t="s">
        <v>34</v>
      </c>
      <c r="E118" s="119"/>
      <c r="F118" s="119"/>
      <c r="G118" s="119"/>
      <c r="H118" s="119"/>
      <c r="I118" s="118"/>
      <c r="J118" s="118"/>
      <c r="K118" s="79"/>
      <c r="L118" s="79"/>
      <c r="M118" s="79"/>
      <c r="N118" s="75">
        <v>575.23</v>
      </c>
      <c r="O118" s="79"/>
      <c r="P118" s="75">
        <f>N118*M115</f>
        <v>161.06440000000001</v>
      </c>
      <c r="Q118" s="75">
        <v>37.756999999999998</v>
      </c>
      <c r="R118" s="75">
        <f>P118*Q118</f>
        <v>6081.3085507999995</v>
      </c>
    </row>
    <row r="119" spans="1:18" ht="15.6" x14ac:dyDescent="0.3">
      <c r="A119" s="118"/>
      <c r="B119" s="118"/>
      <c r="C119" s="81">
        <v>4</v>
      </c>
      <c r="D119" s="119" t="s">
        <v>35</v>
      </c>
      <c r="E119" s="119"/>
      <c r="F119" s="119"/>
      <c r="G119" s="119"/>
      <c r="H119" s="119"/>
      <c r="I119" s="118"/>
      <c r="J119" s="118"/>
      <c r="K119" s="79"/>
      <c r="L119" s="79"/>
      <c r="M119" s="79"/>
      <c r="N119" s="75">
        <v>1845.68</v>
      </c>
      <c r="O119" s="79"/>
      <c r="P119" s="75">
        <f>N119*M115</f>
        <v>516.79040000000009</v>
      </c>
      <c r="Q119" s="75">
        <v>13.002000000000001</v>
      </c>
      <c r="R119" s="75">
        <f>P119*Q119</f>
        <v>6719.3087808000018</v>
      </c>
    </row>
    <row r="120" spans="1:18" ht="15.6" x14ac:dyDescent="0.3">
      <c r="A120" s="118"/>
      <c r="B120" s="118"/>
      <c r="C120" s="79"/>
      <c r="D120" s="119" t="s">
        <v>36</v>
      </c>
      <c r="E120" s="119"/>
      <c r="F120" s="119"/>
      <c r="G120" s="119"/>
      <c r="H120" s="119"/>
      <c r="I120" s="118"/>
      <c r="J120" s="118"/>
      <c r="K120" s="75">
        <v>134.31</v>
      </c>
      <c r="L120" s="79"/>
      <c r="M120" s="75">
        <f>K120*M115</f>
        <v>37.606800000000007</v>
      </c>
      <c r="N120" s="79"/>
      <c r="O120" s="79"/>
      <c r="P120" s="79"/>
      <c r="Q120" s="79"/>
      <c r="R120" s="80"/>
    </row>
    <row r="121" spans="1:18" ht="15.6" x14ac:dyDescent="0.3">
      <c r="A121" s="118"/>
      <c r="B121" s="118"/>
      <c r="C121" s="79"/>
      <c r="D121" s="119" t="s">
        <v>37</v>
      </c>
      <c r="E121" s="119"/>
      <c r="F121" s="119"/>
      <c r="G121" s="119"/>
      <c r="H121" s="119"/>
      <c r="I121" s="118"/>
      <c r="J121" s="118"/>
      <c r="K121" s="75">
        <v>43.81</v>
      </c>
      <c r="L121" s="79"/>
      <c r="M121" s="75">
        <f>K121*M115</f>
        <v>12.266800000000002</v>
      </c>
      <c r="N121" s="79"/>
      <c r="O121" s="79"/>
      <c r="P121" s="79"/>
      <c r="Q121" s="79"/>
      <c r="R121" s="80"/>
    </row>
    <row r="122" spans="1:18" ht="15.6" x14ac:dyDescent="0.3">
      <c r="A122" s="118"/>
      <c r="B122" s="118"/>
      <c r="C122" s="79"/>
      <c r="D122" s="119" t="s">
        <v>38</v>
      </c>
      <c r="E122" s="119"/>
      <c r="F122" s="119"/>
      <c r="G122" s="119"/>
      <c r="H122" s="119"/>
      <c r="I122" s="118"/>
      <c r="J122" s="118"/>
      <c r="K122" s="79"/>
      <c r="L122" s="79"/>
      <c r="M122" s="79"/>
      <c r="N122" s="79"/>
      <c r="O122" s="79"/>
      <c r="P122" s="75">
        <f>SUM(P116:P119)</f>
        <v>2451.4924000000001</v>
      </c>
      <c r="Q122" s="79"/>
      <c r="R122" s="75">
        <f>SUM(R116:R119)</f>
        <v>55946.071367199998</v>
      </c>
    </row>
    <row r="123" spans="1:18" ht="15.6" x14ac:dyDescent="0.3">
      <c r="A123" s="118"/>
      <c r="B123" s="118"/>
      <c r="C123" s="79"/>
      <c r="D123" s="119" t="s">
        <v>39</v>
      </c>
      <c r="E123" s="119"/>
      <c r="F123" s="119"/>
      <c r="G123" s="119"/>
      <c r="H123" s="119"/>
      <c r="I123" s="118"/>
      <c r="J123" s="118"/>
      <c r="K123" s="79"/>
      <c r="L123" s="79"/>
      <c r="M123" s="79"/>
      <c r="N123" s="79"/>
      <c r="O123" s="79"/>
      <c r="P123" s="75">
        <f>P116+P118</f>
        <v>502.1576</v>
      </c>
      <c r="Q123" s="79"/>
      <c r="R123" s="75">
        <f>R116+R118</f>
        <v>18959.964503200001</v>
      </c>
    </row>
    <row r="124" spans="1:18" ht="31.2" x14ac:dyDescent="0.3">
      <c r="A124" s="118"/>
      <c r="B124" s="118"/>
      <c r="C124" s="75" t="s">
        <v>40</v>
      </c>
      <c r="D124" s="119" t="s">
        <v>41</v>
      </c>
      <c r="E124" s="119"/>
      <c r="F124" s="119"/>
      <c r="G124" s="119"/>
      <c r="H124" s="119"/>
      <c r="I124" s="120" t="s">
        <v>42</v>
      </c>
      <c r="J124" s="120"/>
      <c r="K124" s="75">
        <v>116</v>
      </c>
      <c r="L124" s="79"/>
      <c r="M124" s="79"/>
      <c r="N124" s="79"/>
      <c r="O124" s="79"/>
      <c r="P124" s="75">
        <f>P123*K124/100</f>
        <v>582.50281600000005</v>
      </c>
      <c r="Q124" s="79"/>
      <c r="R124" s="75">
        <f>R123*K124/100</f>
        <v>21993.558823712003</v>
      </c>
    </row>
    <row r="125" spans="1:18" ht="31.2" x14ac:dyDescent="0.3">
      <c r="A125" s="118"/>
      <c r="B125" s="118"/>
      <c r="C125" s="75" t="s">
        <v>43</v>
      </c>
      <c r="D125" s="119" t="s">
        <v>44</v>
      </c>
      <c r="E125" s="119"/>
      <c r="F125" s="119"/>
      <c r="G125" s="119"/>
      <c r="H125" s="119"/>
      <c r="I125" s="120" t="s">
        <v>42</v>
      </c>
      <c r="J125" s="120"/>
      <c r="K125" s="75">
        <v>80</v>
      </c>
      <c r="L125" s="79"/>
      <c r="M125" s="79"/>
      <c r="N125" s="79"/>
      <c r="O125" s="79"/>
      <c r="P125" s="75">
        <f>P123*K125/100</f>
        <v>401.72608000000002</v>
      </c>
      <c r="Q125" s="79"/>
      <c r="R125" s="75">
        <f>R123*K125/100</f>
        <v>15167.971602559999</v>
      </c>
    </row>
    <row r="126" spans="1:18" ht="15.6" x14ac:dyDescent="0.3">
      <c r="A126" s="124"/>
      <c r="B126" s="124"/>
      <c r="C126" s="83" t="s">
        <v>478</v>
      </c>
      <c r="D126" s="125" t="s">
        <v>482</v>
      </c>
      <c r="E126" s="125"/>
      <c r="F126" s="125"/>
      <c r="G126" s="125"/>
      <c r="H126" s="125"/>
      <c r="I126" s="124" t="s">
        <v>53</v>
      </c>
      <c r="J126" s="124"/>
      <c r="K126" s="84">
        <f>26*0.54</f>
        <v>14.040000000000001</v>
      </c>
      <c r="L126" s="84"/>
      <c r="M126" s="84"/>
      <c r="N126" s="84">
        <v>682</v>
      </c>
      <c r="O126" s="84"/>
      <c r="P126" s="84">
        <f>K126*N126</f>
        <v>9575.2800000000007</v>
      </c>
      <c r="Q126" s="84">
        <v>13.002000000000001</v>
      </c>
      <c r="R126" s="84">
        <f>P126*Q126</f>
        <v>124497.79056000001</v>
      </c>
    </row>
    <row r="127" spans="1:18" ht="15.6" x14ac:dyDescent="0.3">
      <c r="A127" s="124"/>
      <c r="B127" s="124"/>
      <c r="C127" s="83" t="s">
        <v>478</v>
      </c>
      <c r="D127" s="125" t="s">
        <v>484</v>
      </c>
      <c r="E127" s="125"/>
      <c r="F127" s="125"/>
      <c r="G127" s="125"/>
      <c r="H127" s="125"/>
      <c r="I127" s="124" t="s">
        <v>53</v>
      </c>
      <c r="J127" s="124"/>
      <c r="K127" s="84">
        <f>28*0.81</f>
        <v>22.68</v>
      </c>
      <c r="L127" s="84"/>
      <c r="M127" s="84"/>
      <c r="N127" s="84">
        <v>682</v>
      </c>
      <c r="O127" s="84"/>
      <c r="P127" s="84">
        <f>K127*N127</f>
        <v>15467.76</v>
      </c>
      <c r="Q127" s="84">
        <v>13.002000000000001</v>
      </c>
      <c r="R127" s="84">
        <f>P127*Q127</f>
        <v>201111.81552</v>
      </c>
    </row>
    <row r="128" spans="1:18" ht="15.6" x14ac:dyDescent="0.3">
      <c r="A128" s="118"/>
      <c r="B128" s="118"/>
      <c r="C128" s="79"/>
      <c r="D128" s="119" t="s">
        <v>45</v>
      </c>
      <c r="E128" s="119"/>
      <c r="F128" s="119"/>
      <c r="G128" s="119"/>
      <c r="H128" s="119"/>
      <c r="I128" s="118"/>
      <c r="J128" s="118"/>
      <c r="K128" s="79"/>
      <c r="L128" s="79"/>
      <c r="M128" s="79"/>
      <c r="N128" s="79"/>
      <c r="O128" s="79"/>
      <c r="P128" s="75">
        <f>P125+P124+P122+P127+P126</f>
        <v>28478.761296000004</v>
      </c>
      <c r="Q128" s="79"/>
      <c r="R128" s="75">
        <f>R125+R124+R122+R127+R126</f>
        <v>418717.20787347201</v>
      </c>
    </row>
    <row r="129" spans="1:18" ht="31.2" x14ac:dyDescent="0.3">
      <c r="A129" s="121" t="s">
        <v>66</v>
      </c>
      <c r="B129" s="121"/>
      <c r="C129" s="75" t="s">
        <v>408</v>
      </c>
      <c r="D129" s="120" t="s">
        <v>485</v>
      </c>
      <c r="E129" s="120"/>
      <c r="F129" s="120"/>
      <c r="G129" s="120"/>
      <c r="H129" s="120"/>
      <c r="I129" s="122" t="s">
        <v>64</v>
      </c>
      <c r="J129" s="122"/>
      <c r="K129" s="76">
        <v>3.7999999999999999E-2</v>
      </c>
      <c r="L129" s="77">
        <v>1</v>
      </c>
      <c r="M129" s="77">
        <f>K129</f>
        <v>3.7999999999999999E-2</v>
      </c>
      <c r="N129" s="78"/>
      <c r="O129" s="79"/>
      <c r="P129" s="79"/>
      <c r="Q129" s="79"/>
      <c r="R129" s="80"/>
    </row>
    <row r="130" spans="1:18" ht="15.6" x14ac:dyDescent="0.3">
      <c r="A130" s="118"/>
      <c r="B130" s="118"/>
      <c r="C130" s="81">
        <v>1</v>
      </c>
      <c r="D130" s="119" t="s">
        <v>32</v>
      </c>
      <c r="E130" s="119"/>
      <c r="F130" s="119"/>
      <c r="G130" s="119"/>
      <c r="H130" s="119"/>
      <c r="I130" s="118"/>
      <c r="J130" s="118"/>
      <c r="K130" s="79"/>
      <c r="L130" s="79"/>
      <c r="M130" s="79"/>
      <c r="N130" s="75">
        <v>3951.91</v>
      </c>
      <c r="O130" s="79"/>
      <c r="P130" s="75">
        <f>M129*N130</f>
        <v>150.17257999999998</v>
      </c>
      <c r="Q130" s="75">
        <v>37.756999999999998</v>
      </c>
      <c r="R130" s="75">
        <f>P130*Q130</f>
        <v>5670.0661030599986</v>
      </c>
    </row>
    <row r="131" spans="1:18" ht="15.6" x14ac:dyDescent="0.3">
      <c r="A131" s="118"/>
      <c r="B131" s="118"/>
      <c r="C131" s="81">
        <v>3</v>
      </c>
      <c r="D131" s="119" t="s">
        <v>33</v>
      </c>
      <c r="E131" s="119"/>
      <c r="F131" s="119"/>
      <c r="G131" s="119"/>
      <c r="H131" s="119"/>
      <c r="I131" s="118"/>
      <c r="J131" s="118"/>
      <c r="K131" s="79"/>
      <c r="L131" s="79"/>
      <c r="M131" s="79"/>
      <c r="N131" s="75">
        <v>3727.5</v>
      </c>
      <c r="O131" s="79"/>
      <c r="P131" s="75">
        <f>N131*M129</f>
        <v>141.64500000000001</v>
      </c>
      <c r="Q131" s="82">
        <v>21.128</v>
      </c>
      <c r="R131" s="75">
        <f>P131*Q131</f>
        <v>2992.6755600000001</v>
      </c>
    </row>
    <row r="132" spans="1:18" ht="15.6" x14ac:dyDescent="0.3">
      <c r="A132" s="118"/>
      <c r="B132" s="118"/>
      <c r="C132" s="81">
        <v>2</v>
      </c>
      <c r="D132" s="119" t="s">
        <v>34</v>
      </c>
      <c r="E132" s="119"/>
      <c r="F132" s="119"/>
      <c r="G132" s="119"/>
      <c r="H132" s="119"/>
      <c r="I132" s="118"/>
      <c r="J132" s="118"/>
      <c r="K132" s="79"/>
      <c r="L132" s="79"/>
      <c r="M132" s="79"/>
      <c r="N132" s="75">
        <v>387.53</v>
      </c>
      <c r="O132" s="79"/>
      <c r="P132" s="75">
        <f>N132*M129</f>
        <v>14.726139999999999</v>
      </c>
      <c r="Q132" s="75">
        <v>37.756999999999998</v>
      </c>
      <c r="R132" s="75">
        <f>P132*Q132</f>
        <v>556.01486797999996</v>
      </c>
    </row>
    <row r="133" spans="1:18" ht="15.6" x14ac:dyDescent="0.3">
      <c r="A133" s="118"/>
      <c r="B133" s="118"/>
      <c r="C133" s="81">
        <v>4</v>
      </c>
      <c r="D133" s="119" t="s">
        <v>35</v>
      </c>
      <c r="E133" s="119"/>
      <c r="F133" s="119"/>
      <c r="G133" s="119"/>
      <c r="H133" s="119"/>
      <c r="I133" s="118"/>
      <c r="J133" s="118"/>
      <c r="K133" s="79"/>
      <c r="L133" s="79"/>
      <c r="M133" s="79"/>
      <c r="N133" s="75">
        <v>109380</v>
      </c>
      <c r="O133" s="79"/>
      <c r="P133" s="75">
        <f>N133*M129</f>
        <v>4156.4399999999996</v>
      </c>
      <c r="Q133" s="75">
        <v>13.002000000000001</v>
      </c>
      <c r="R133" s="75">
        <f>P133*Q133</f>
        <v>54042.032879999999</v>
      </c>
    </row>
    <row r="134" spans="1:18" ht="15.6" x14ac:dyDescent="0.3">
      <c r="A134" s="118"/>
      <c r="B134" s="118"/>
      <c r="C134" s="79"/>
      <c r="D134" s="119" t="s">
        <v>36</v>
      </c>
      <c r="E134" s="119"/>
      <c r="F134" s="119"/>
      <c r="G134" s="119"/>
      <c r="H134" s="119"/>
      <c r="I134" s="118"/>
      <c r="J134" s="118"/>
      <c r="K134" s="75">
        <v>446.04</v>
      </c>
      <c r="L134" s="79"/>
      <c r="M134" s="75">
        <f>K134*M129</f>
        <v>16.94952</v>
      </c>
      <c r="N134" s="79"/>
      <c r="O134" s="79"/>
      <c r="P134" s="79"/>
      <c r="Q134" s="79"/>
      <c r="R134" s="80"/>
    </row>
    <row r="135" spans="1:18" ht="15.6" x14ac:dyDescent="0.3">
      <c r="A135" s="118"/>
      <c r="B135" s="118"/>
      <c r="C135" s="79"/>
      <c r="D135" s="119" t="s">
        <v>37</v>
      </c>
      <c r="E135" s="119"/>
      <c r="F135" s="119"/>
      <c r="G135" s="119"/>
      <c r="H135" s="119"/>
      <c r="I135" s="118"/>
      <c r="J135" s="118"/>
      <c r="K135" s="75">
        <v>28.77</v>
      </c>
      <c r="L135" s="79"/>
      <c r="M135" s="75">
        <f>K135*M129</f>
        <v>1.0932599999999999</v>
      </c>
      <c r="N135" s="79"/>
      <c r="O135" s="79"/>
      <c r="P135" s="79"/>
      <c r="Q135" s="79"/>
      <c r="R135" s="80"/>
    </row>
    <row r="136" spans="1:18" ht="15.6" x14ac:dyDescent="0.3">
      <c r="A136" s="118"/>
      <c r="B136" s="118"/>
      <c r="C136" s="79"/>
      <c r="D136" s="119" t="s">
        <v>38</v>
      </c>
      <c r="E136" s="119"/>
      <c r="F136" s="119"/>
      <c r="G136" s="119"/>
      <c r="H136" s="119"/>
      <c r="I136" s="118"/>
      <c r="J136" s="118"/>
      <c r="K136" s="79"/>
      <c r="L136" s="79"/>
      <c r="M136" s="79"/>
      <c r="N136" s="79"/>
      <c r="O136" s="79"/>
      <c r="P136" s="75">
        <f>SUM(P130:P133)</f>
        <v>4462.9837199999993</v>
      </c>
      <c r="Q136" s="79"/>
      <c r="R136" s="75">
        <f>SUM(R130:R133)</f>
        <v>63260.789411039994</v>
      </c>
    </row>
    <row r="137" spans="1:18" ht="15.6" x14ac:dyDescent="0.3">
      <c r="A137" s="118"/>
      <c r="B137" s="118"/>
      <c r="C137" s="79"/>
      <c r="D137" s="119" t="s">
        <v>39</v>
      </c>
      <c r="E137" s="119"/>
      <c r="F137" s="119"/>
      <c r="G137" s="119"/>
      <c r="H137" s="119"/>
      <c r="I137" s="118"/>
      <c r="J137" s="118"/>
      <c r="K137" s="79"/>
      <c r="L137" s="79"/>
      <c r="M137" s="79"/>
      <c r="N137" s="79"/>
      <c r="O137" s="79"/>
      <c r="P137" s="75">
        <f>P130+P132</f>
        <v>164.89871999999997</v>
      </c>
      <c r="Q137" s="79"/>
      <c r="R137" s="75">
        <f>R130+R132</f>
        <v>6226.080971039999</v>
      </c>
    </row>
    <row r="138" spans="1:18" ht="31.2" x14ac:dyDescent="0.3">
      <c r="A138" s="118"/>
      <c r="B138" s="118"/>
      <c r="C138" s="75" t="s">
        <v>40</v>
      </c>
      <c r="D138" s="119" t="s">
        <v>41</v>
      </c>
      <c r="E138" s="119"/>
      <c r="F138" s="119"/>
      <c r="G138" s="119"/>
      <c r="H138" s="119"/>
      <c r="I138" s="120" t="s">
        <v>42</v>
      </c>
      <c r="J138" s="120"/>
      <c r="K138" s="75">
        <v>116</v>
      </c>
      <c r="L138" s="79"/>
      <c r="M138" s="79"/>
      <c r="N138" s="79"/>
      <c r="O138" s="79"/>
      <c r="P138" s="75">
        <f>P137*K138/100</f>
        <v>191.28251519999998</v>
      </c>
      <c r="Q138" s="79"/>
      <c r="R138" s="75">
        <f>R137*K138/100</f>
        <v>7222.2539264063989</v>
      </c>
    </row>
    <row r="139" spans="1:18" ht="31.2" x14ac:dyDescent="0.3">
      <c r="A139" s="118"/>
      <c r="B139" s="118"/>
      <c r="C139" s="75" t="s">
        <v>43</v>
      </c>
      <c r="D139" s="119" t="s">
        <v>44</v>
      </c>
      <c r="E139" s="119"/>
      <c r="F139" s="119"/>
      <c r="G139" s="119"/>
      <c r="H139" s="119"/>
      <c r="I139" s="120" t="s">
        <v>42</v>
      </c>
      <c r="J139" s="120"/>
      <c r="K139" s="75">
        <v>80</v>
      </c>
      <c r="L139" s="79"/>
      <c r="M139" s="79"/>
      <c r="N139" s="79"/>
      <c r="O139" s="79"/>
      <c r="P139" s="75">
        <f>P137*K139/100</f>
        <v>131.91897599999996</v>
      </c>
      <c r="Q139" s="79"/>
      <c r="R139" s="75">
        <f>R137*K139/100</f>
        <v>4980.8647768319988</v>
      </c>
    </row>
    <row r="140" spans="1:18" ht="15.6" x14ac:dyDescent="0.3">
      <c r="A140" s="118"/>
      <c r="B140" s="118"/>
      <c r="C140" s="79"/>
      <c r="D140" s="119" t="s">
        <v>45</v>
      </c>
      <c r="E140" s="119"/>
      <c r="F140" s="119"/>
      <c r="G140" s="119"/>
      <c r="H140" s="119"/>
      <c r="I140" s="118"/>
      <c r="J140" s="118"/>
      <c r="K140" s="79"/>
      <c r="L140" s="79"/>
      <c r="M140" s="79"/>
      <c r="N140" s="79"/>
      <c r="O140" s="79"/>
      <c r="P140" s="75">
        <f>P139+P138+P136</f>
        <v>4786.1852111999997</v>
      </c>
      <c r="Q140" s="79"/>
      <c r="R140" s="75">
        <f>R139+R138+R136</f>
        <v>75463.908114278398</v>
      </c>
    </row>
    <row r="141" spans="1:18" ht="31.2" x14ac:dyDescent="0.3">
      <c r="A141" s="121" t="s">
        <v>69</v>
      </c>
      <c r="B141" s="121"/>
      <c r="C141" s="75" t="s">
        <v>68</v>
      </c>
      <c r="D141" s="120" t="s">
        <v>67</v>
      </c>
      <c r="E141" s="120"/>
      <c r="F141" s="120"/>
      <c r="G141" s="120"/>
      <c r="H141" s="120"/>
      <c r="I141" s="122" t="s">
        <v>50</v>
      </c>
      <c r="J141" s="122"/>
      <c r="K141" s="76">
        <v>10.96</v>
      </c>
      <c r="L141" s="77">
        <v>1</v>
      </c>
      <c r="M141" s="77">
        <f>K141</f>
        <v>10.96</v>
      </c>
      <c r="N141" s="78"/>
      <c r="O141" s="79"/>
      <c r="P141" s="79"/>
      <c r="Q141" s="79"/>
      <c r="R141" s="80"/>
    </row>
    <row r="142" spans="1:18" ht="15.6" x14ac:dyDescent="0.3">
      <c r="A142" s="118"/>
      <c r="B142" s="118"/>
      <c r="C142" s="81">
        <v>1</v>
      </c>
      <c r="D142" s="119" t="s">
        <v>32</v>
      </c>
      <c r="E142" s="119"/>
      <c r="F142" s="119"/>
      <c r="G142" s="119"/>
      <c r="H142" s="119"/>
      <c r="I142" s="118"/>
      <c r="J142" s="118"/>
      <c r="K142" s="79"/>
      <c r="L142" s="79"/>
      <c r="M142" s="79"/>
      <c r="N142" s="75">
        <v>29.46</v>
      </c>
      <c r="O142" s="79"/>
      <c r="P142" s="75">
        <f>M141*N142</f>
        <v>322.88160000000005</v>
      </c>
      <c r="Q142" s="75">
        <v>37.756999999999998</v>
      </c>
      <c r="R142" s="75">
        <f>P142*Q142</f>
        <v>12191.040571200001</v>
      </c>
    </row>
    <row r="143" spans="1:18" ht="15.6" x14ac:dyDescent="0.3">
      <c r="A143" s="118"/>
      <c r="B143" s="118"/>
      <c r="C143" s="81">
        <v>3</v>
      </c>
      <c r="D143" s="119" t="s">
        <v>33</v>
      </c>
      <c r="E143" s="119"/>
      <c r="F143" s="119"/>
      <c r="G143" s="119"/>
      <c r="H143" s="119"/>
      <c r="I143" s="118"/>
      <c r="J143" s="118"/>
      <c r="K143" s="79"/>
      <c r="L143" s="79"/>
      <c r="M143" s="79"/>
      <c r="N143" s="75">
        <v>29.44</v>
      </c>
      <c r="O143" s="79"/>
      <c r="P143" s="75">
        <f>N143*M141</f>
        <v>322.66240000000005</v>
      </c>
      <c r="Q143" s="82">
        <v>21.128</v>
      </c>
      <c r="R143" s="75">
        <f>P143*Q143</f>
        <v>6817.2111872000014</v>
      </c>
    </row>
    <row r="144" spans="1:18" ht="15.6" x14ac:dyDescent="0.3">
      <c r="A144" s="118"/>
      <c r="B144" s="118"/>
      <c r="C144" s="81">
        <v>2</v>
      </c>
      <c r="D144" s="119" t="s">
        <v>34</v>
      </c>
      <c r="E144" s="119"/>
      <c r="F144" s="119"/>
      <c r="G144" s="119"/>
      <c r="H144" s="119"/>
      <c r="I144" s="118"/>
      <c r="J144" s="118"/>
      <c r="K144" s="79"/>
      <c r="L144" s="79"/>
      <c r="M144" s="79"/>
      <c r="N144" s="75">
        <v>3.02</v>
      </c>
      <c r="O144" s="79"/>
      <c r="P144" s="75">
        <f>N144*M141</f>
        <v>33.099200000000003</v>
      </c>
      <c r="Q144" s="75">
        <v>37.756999999999998</v>
      </c>
      <c r="R144" s="75">
        <f>P144*Q144</f>
        <v>1249.7264944000001</v>
      </c>
    </row>
    <row r="145" spans="1:18" ht="15.6" x14ac:dyDescent="0.3">
      <c r="A145" s="118"/>
      <c r="B145" s="118"/>
      <c r="C145" s="81">
        <v>4</v>
      </c>
      <c r="D145" s="119" t="s">
        <v>35</v>
      </c>
      <c r="E145" s="119"/>
      <c r="F145" s="119"/>
      <c r="G145" s="119"/>
      <c r="H145" s="119"/>
      <c r="I145" s="118"/>
      <c r="J145" s="118"/>
      <c r="K145" s="79"/>
      <c r="L145" s="79"/>
      <c r="M145" s="79"/>
      <c r="N145" s="75">
        <v>66.680000000000007</v>
      </c>
      <c r="O145" s="79"/>
      <c r="P145" s="75">
        <f>N145*M141</f>
        <v>730.81280000000015</v>
      </c>
      <c r="Q145" s="75">
        <v>13.002000000000001</v>
      </c>
      <c r="R145" s="75">
        <f>P145*Q145</f>
        <v>9502.0280256000024</v>
      </c>
    </row>
    <row r="146" spans="1:18" ht="15.6" x14ac:dyDescent="0.3">
      <c r="A146" s="118"/>
      <c r="B146" s="118"/>
      <c r="C146" s="79"/>
      <c r="D146" s="119" t="s">
        <v>36</v>
      </c>
      <c r="E146" s="119"/>
      <c r="F146" s="119"/>
      <c r="G146" s="119"/>
      <c r="H146" s="119"/>
      <c r="I146" s="118"/>
      <c r="J146" s="118"/>
      <c r="K146" s="75">
        <v>3.41</v>
      </c>
      <c r="L146" s="79"/>
      <c r="M146" s="75">
        <f>K146*M141</f>
        <v>37.373600000000003</v>
      </c>
      <c r="N146" s="79"/>
      <c r="O146" s="79"/>
      <c r="P146" s="79"/>
      <c r="Q146" s="79"/>
      <c r="R146" s="80"/>
    </row>
    <row r="147" spans="1:18" ht="15.6" x14ac:dyDescent="0.3">
      <c r="A147" s="118"/>
      <c r="B147" s="118"/>
      <c r="C147" s="79"/>
      <c r="D147" s="119" t="s">
        <v>37</v>
      </c>
      <c r="E147" s="119"/>
      <c r="F147" s="119"/>
      <c r="G147" s="119"/>
      <c r="H147" s="119"/>
      <c r="I147" s="118"/>
      <c r="J147" s="118"/>
      <c r="K147" s="75">
        <v>0.3</v>
      </c>
      <c r="L147" s="79"/>
      <c r="M147" s="75">
        <f>K147*M141</f>
        <v>3.2880000000000003</v>
      </c>
      <c r="N147" s="79"/>
      <c r="O147" s="79"/>
      <c r="P147" s="79"/>
      <c r="Q147" s="79"/>
      <c r="R147" s="80"/>
    </row>
    <row r="148" spans="1:18" ht="15.6" x14ac:dyDescent="0.3">
      <c r="A148" s="118"/>
      <c r="B148" s="118"/>
      <c r="C148" s="79"/>
      <c r="D148" s="119" t="s">
        <v>38</v>
      </c>
      <c r="E148" s="119"/>
      <c r="F148" s="119"/>
      <c r="G148" s="119"/>
      <c r="H148" s="119"/>
      <c r="I148" s="118"/>
      <c r="J148" s="118"/>
      <c r="K148" s="79"/>
      <c r="L148" s="79"/>
      <c r="M148" s="79"/>
      <c r="N148" s="79"/>
      <c r="O148" s="79"/>
      <c r="P148" s="75">
        <f>SUM(P142:P145)</f>
        <v>1409.4560000000001</v>
      </c>
      <c r="Q148" s="79"/>
      <c r="R148" s="75">
        <f>SUM(R142:R145)</f>
        <v>29760.006278400004</v>
      </c>
    </row>
    <row r="149" spans="1:18" ht="15.6" x14ac:dyDescent="0.3">
      <c r="A149" s="118"/>
      <c r="B149" s="118"/>
      <c r="C149" s="79"/>
      <c r="D149" s="119" t="s">
        <v>39</v>
      </c>
      <c r="E149" s="119"/>
      <c r="F149" s="119"/>
      <c r="G149" s="119"/>
      <c r="H149" s="119"/>
      <c r="I149" s="118"/>
      <c r="J149" s="118"/>
      <c r="K149" s="79"/>
      <c r="L149" s="79"/>
      <c r="M149" s="79"/>
      <c r="N149" s="79"/>
      <c r="O149" s="79"/>
      <c r="P149" s="75">
        <f>P142+P144</f>
        <v>355.98080000000004</v>
      </c>
      <c r="Q149" s="79"/>
      <c r="R149" s="75">
        <f>R142+R144</f>
        <v>13440.767065600001</v>
      </c>
    </row>
    <row r="150" spans="1:18" ht="31.2" x14ac:dyDescent="0.3">
      <c r="A150" s="118"/>
      <c r="B150" s="118"/>
      <c r="C150" s="75" t="s">
        <v>40</v>
      </c>
      <c r="D150" s="119" t="s">
        <v>41</v>
      </c>
      <c r="E150" s="119"/>
      <c r="F150" s="119"/>
      <c r="G150" s="119"/>
      <c r="H150" s="119"/>
      <c r="I150" s="120" t="s">
        <v>42</v>
      </c>
      <c r="J150" s="120"/>
      <c r="K150" s="75">
        <v>112</v>
      </c>
      <c r="L150" s="79"/>
      <c r="M150" s="79"/>
      <c r="N150" s="79"/>
      <c r="O150" s="79"/>
      <c r="P150" s="75">
        <f>P149*K150/100</f>
        <v>398.69849600000003</v>
      </c>
      <c r="Q150" s="79"/>
      <c r="R150" s="75">
        <f>R149*K150/100</f>
        <v>15053.659113472002</v>
      </c>
    </row>
    <row r="151" spans="1:18" ht="31.2" x14ac:dyDescent="0.3">
      <c r="A151" s="118"/>
      <c r="B151" s="118"/>
      <c r="C151" s="75" t="s">
        <v>43</v>
      </c>
      <c r="D151" s="119" t="s">
        <v>44</v>
      </c>
      <c r="E151" s="119"/>
      <c r="F151" s="119"/>
      <c r="G151" s="119"/>
      <c r="H151" s="119"/>
      <c r="I151" s="120" t="s">
        <v>42</v>
      </c>
      <c r="J151" s="120"/>
      <c r="K151" s="75">
        <v>65</v>
      </c>
      <c r="L151" s="79"/>
      <c r="M151" s="79"/>
      <c r="N151" s="79"/>
      <c r="O151" s="79"/>
      <c r="P151" s="75">
        <f>P149*K151/100</f>
        <v>231.38752000000005</v>
      </c>
      <c r="Q151" s="79"/>
      <c r="R151" s="75">
        <f>R149*K151/100</f>
        <v>8736.4985926400004</v>
      </c>
    </row>
    <row r="152" spans="1:18" ht="15.6" x14ac:dyDescent="0.3">
      <c r="A152" s="118"/>
      <c r="B152" s="118"/>
      <c r="C152" s="79"/>
      <c r="D152" s="119" t="s">
        <v>45</v>
      </c>
      <c r="E152" s="119"/>
      <c r="F152" s="119"/>
      <c r="G152" s="119"/>
      <c r="H152" s="119"/>
      <c r="I152" s="118"/>
      <c r="J152" s="118"/>
      <c r="K152" s="79"/>
      <c r="L152" s="79"/>
      <c r="M152" s="79"/>
      <c r="N152" s="79"/>
      <c r="O152" s="79"/>
      <c r="P152" s="75">
        <f>P151+P150+P148</f>
        <v>2039.5420160000003</v>
      </c>
      <c r="Q152" s="79"/>
      <c r="R152" s="75">
        <f>R151+R150+R148</f>
        <v>53550.163984512008</v>
      </c>
    </row>
    <row r="153" spans="1:18" ht="31.2" x14ac:dyDescent="0.3">
      <c r="A153" s="121" t="s">
        <v>72</v>
      </c>
      <c r="B153" s="121"/>
      <c r="C153" s="75" t="s">
        <v>70</v>
      </c>
      <c r="D153" s="120" t="s">
        <v>71</v>
      </c>
      <c r="E153" s="120"/>
      <c r="F153" s="120"/>
      <c r="G153" s="120"/>
      <c r="H153" s="120"/>
      <c r="I153" s="122" t="s">
        <v>50</v>
      </c>
      <c r="J153" s="122"/>
      <c r="K153" s="76">
        <v>10.96</v>
      </c>
      <c r="L153" s="77">
        <v>1</v>
      </c>
      <c r="M153" s="77">
        <f>K153</f>
        <v>10.96</v>
      </c>
      <c r="N153" s="78"/>
      <c r="O153" s="79"/>
      <c r="P153" s="79"/>
      <c r="Q153" s="79"/>
      <c r="R153" s="80"/>
    </row>
    <row r="154" spans="1:18" ht="15.6" x14ac:dyDescent="0.3">
      <c r="A154" s="118"/>
      <c r="B154" s="118"/>
      <c r="C154" s="81">
        <v>1</v>
      </c>
      <c r="D154" s="119" t="s">
        <v>32</v>
      </c>
      <c r="E154" s="119"/>
      <c r="F154" s="119"/>
      <c r="G154" s="119"/>
      <c r="H154" s="119"/>
      <c r="I154" s="118"/>
      <c r="J154" s="118"/>
      <c r="K154" s="79"/>
      <c r="L154" s="79"/>
      <c r="M154" s="79"/>
      <c r="N154" s="75">
        <v>30.67</v>
      </c>
      <c r="O154" s="79"/>
      <c r="P154" s="75">
        <f>M153*N154</f>
        <v>336.14320000000004</v>
      </c>
      <c r="Q154" s="75">
        <v>37.756999999999998</v>
      </c>
      <c r="R154" s="75">
        <f>P154*Q154</f>
        <v>12691.758802400002</v>
      </c>
    </row>
    <row r="155" spans="1:18" ht="15.6" x14ac:dyDescent="0.3">
      <c r="A155" s="118"/>
      <c r="B155" s="118"/>
      <c r="C155" s="81">
        <v>3</v>
      </c>
      <c r="D155" s="119" t="s">
        <v>33</v>
      </c>
      <c r="E155" s="119"/>
      <c r="F155" s="119"/>
      <c r="G155" s="119"/>
      <c r="H155" s="119"/>
      <c r="I155" s="118"/>
      <c r="J155" s="118"/>
      <c r="K155" s="79"/>
      <c r="L155" s="79"/>
      <c r="M155" s="79"/>
      <c r="N155" s="75">
        <v>0.24</v>
      </c>
      <c r="O155" s="79"/>
      <c r="P155" s="75">
        <f>N155*M153</f>
        <v>2.6304000000000003</v>
      </c>
      <c r="Q155" s="82">
        <v>21.128</v>
      </c>
      <c r="R155" s="75">
        <f>P155*Q155</f>
        <v>55.57509120000001</v>
      </c>
    </row>
    <row r="156" spans="1:18" ht="15.6" x14ac:dyDescent="0.3">
      <c r="A156" s="118"/>
      <c r="B156" s="118"/>
      <c r="C156" s="81">
        <v>2</v>
      </c>
      <c r="D156" s="119" t="s">
        <v>34</v>
      </c>
      <c r="E156" s="119"/>
      <c r="F156" s="119"/>
      <c r="G156" s="119"/>
      <c r="H156" s="119"/>
      <c r="I156" s="118"/>
      <c r="J156" s="118"/>
      <c r="K156" s="79"/>
      <c r="L156" s="79"/>
      <c r="M156" s="79"/>
      <c r="N156" s="75">
        <v>0</v>
      </c>
      <c r="O156" s="79"/>
      <c r="P156" s="75">
        <f>N156*M153</f>
        <v>0</v>
      </c>
      <c r="Q156" s="75">
        <v>37.756999999999998</v>
      </c>
      <c r="R156" s="75">
        <f>P156*Q156</f>
        <v>0</v>
      </c>
    </row>
    <row r="157" spans="1:18" ht="15.6" x14ac:dyDescent="0.3">
      <c r="A157" s="118"/>
      <c r="B157" s="118"/>
      <c r="C157" s="81">
        <v>4</v>
      </c>
      <c r="D157" s="119" t="s">
        <v>35</v>
      </c>
      <c r="E157" s="119"/>
      <c r="F157" s="119"/>
      <c r="G157" s="119"/>
      <c r="H157" s="119"/>
      <c r="I157" s="118"/>
      <c r="J157" s="118"/>
      <c r="K157" s="79"/>
      <c r="L157" s="79"/>
      <c r="M157" s="79"/>
      <c r="N157" s="75">
        <v>619.54</v>
      </c>
      <c r="O157" s="79"/>
      <c r="P157" s="75">
        <f>N157*M153</f>
        <v>6790.1584000000003</v>
      </c>
      <c r="Q157" s="75">
        <v>13.002000000000001</v>
      </c>
      <c r="R157" s="75">
        <f>P157*Q157</f>
        <v>88285.639516800002</v>
      </c>
    </row>
    <row r="158" spans="1:18" ht="15.6" x14ac:dyDescent="0.3">
      <c r="A158" s="118"/>
      <c r="B158" s="118"/>
      <c r="C158" s="79"/>
      <c r="D158" s="119" t="s">
        <v>36</v>
      </c>
      <c r="E158" s="119"/>
      <c r="F158" s="119"/>
      <c r="G158" s="119"/>
      <c r="H158" s="119"/>
      <c r="I158" s="118"/>
      <c r="J158" s="118"/>
      <c r="K158" s="75">
        <v>3.66</v>
      </c>
      <c r="L158" s="79"/>
      <c r="M158" s="75">
        <f>K158*M153</f>
        <v>40.113600000000005</v>
      </c>
      <c r="N158" s="79"/>
      <c r="O158" s="79"/>
      <c r="P158" s="79"/>
      <c r="Q158" s="79"/>
      <c r="R158" s="80"/>
    </row>
    <row r="159" spans="1:18" ht="15.6" x14ac:dyDescent="0.3">
      <c r="A159" s="118"/>
      <c r="B159" s="118"/>
      <c r="C159" s="79"/>
      <c r="D159" s="119" t="s">
        <v>37</v>
      </c>
      <c r="E159" s="119"/>
      <c r="F159" s="119"/>
      <c r="G159" s="119"/>
      <c r="H159" s="119"/>
      <c r="I159" s="118"/>
      <c r="J159" s="118"/>
      <c r="K159" s="75">
        <v>0</v>
      </c>
      <c r="L159" s="79"/>
      <c r="M159" s="75">
        <f>K159*M153</f>
        <v>0</v>
      </c>
      <c r="N159" s="79"/>
      <c r="O159" s="79"/>
      <c r="P159" s="79"/>
      <c r="Q159" s="79"/>
      <c r="R159" s="80"/>
    </row>
    <row r="160" spans="1:18" ht="15.6" x14ac:dyDescent="0.3">
      <c r="A160" s="118"/>
      <c r="B160" s="118"/>
      <c r="C160" s="79"/>
      <c r="D160" s="119" t="s">
        <v>38</v>
      </c>
      <c r="E160" s="119"/>
      <c r="F160" s="119"/>
      <c r="G160" s="119"/>
      <c r="H160" s="119"/>
      <c r="I160" s="118"/>
      <c r="J160" s="118"/>
      <c r="K160" s="79"/>
      <c r="L160" s="79"/>
      <c r="M160" s="79"/>
      <c r="N160" s="79"/>
      <c r="O160" s="79"/>
      <c r="P160" s="75">
        <f>SUM(P154:P157)</f>
        <v>7128.9320000000007</v>
      </c>
      <c r="Q160" s="79"/>
      <c r="R160" s="75">
        <f>SUM(R154:R157)</f>
        <v>101032.97341040001</v>
      </c>
    </row>
    <row r="161" spans="1:18" ht="15.6" x14ac:dyDescent="0.3">
      <c r="A161" s="118"/>
      <c r="B161" s="118"/>
      <c r="C161" s="79"/>
      <c r="D161" s="119" t="s">
        <v>39</v>
      </c>
      <c r="E161" s="119"/>
      <c r="F161" s="119"/>
      <c r="G161" s="119"/>
      <c r="H161" s="119"/>
      <c r="I161" s="118"/>
      <c r="J161" s="118"/>
      <c r="K161" s="79"/>
      <c r="L161" s="79"/>
      <c r="M161" s="79"/>
      <c r="N161" s="79"/>
      <c r="O161" s="79"/>
      <c r="P161" s="75">
        <f>P154+P156</f>
        <v>336.14320000000004</v>
      </c>
      <c r="Q161" s="79"/>
      <c r="R161" s="75">
        <f>R154+R156</f>
        <v>12691.758802400002</v>
      </c>
    </row>
    <row r="162" spans="1:18" ht="31.2" x14ac:dyDescent="0.3">
      <c r="A162" s="118"/>
      <c r="B162" s="118"/>
      <c r="C162" s="75" t="s">
        <v>40</v>
      </c>
      <c r="D162" s="119" t="s">
        <v>41</v>
      </c>
      <c r="E162" s="119"/>
      <c r="F162" s="119"/>
      <c r="G162" s="119"/>
      <c r="H162" s="119"/>
      <c r="I162" s="120" t="s">
        <v>42</v>
      </c>
      <c r="J162" s="120"/>
      <c r="K162" s="75">
        <v>112</v>
      </c>
      <c r="L162" s="79"/>
      <c r="M162" s="79"/>
      <c r="N162" s="79"/>
      <c r="O162" s="79"/>
      <c r="P162" s="75">
        <f>P161*K162/100</f>
        <v>376.48038400000007</v>
      </c>
      <c r="Q162" s="79"/>
      <c r="R162" s="75">
        <f>R161*K162/100</f>
        <v>14214.769858688001</v>
      </c>
    </row>
    <row r="163" spans="1:18" ht="31.2" x14ac:dyDescent="0.3">
      <c r="A163" s="118"/>
      <c r="B163" s="118"/>
      <c r="C163" s="75" t="s">
        <v>43</v>
      </c>
      <c r="D163" s="119" t="s">
        <v>44</v>
      </c>
      <c r="E163" s="119"/>
      <c r="F163" s="119"/>
      <c r="G163" s="119"/>
      <c r="H163" s="119"/>
      <c r="I163" s="120" t="s">
        <v>42</v>
      </c>
      <c r="J163" s="120"/>
      <c r="K163" s="75">
        <v>65</v>
      </c>
      <c r="L163" s="79"/>
      <c r="M163" s="79"/>
      <c r="N163" s="79"/>
      <c r="O163" s="79"/>
      <c r="P163" s="75">
        <f>P161*K163/100</f>
        <v>218.49308000000002</v>
      </c>
      <c r="Q163" s="79"/>
      <c r="R163" s="75">
        <f>R161*K163/100</f>
        <v>8249.6432215599998</v>
      </c>
    </row>
    <row r="164" spans="1:18" ht="15.6" x14ac:dyDescent="0.3">
      <c r="A164" s="118"/>
      <c r="B164" s="118"/>
      <c r="C164" s="79"/>
      <c r="D164" s="119" t="s">
        <v>45</v>
      </c>
      <c r="E164" s="119"/>
      <c r="F164" s="119"/>
      <c r="G164" s="119"/>
      <c r="H164" s="119"/>
      <c r="I164" s="118"/>
      <c r="J164" s="118"/>
      <c r="K164" s="79"/>
      <c r="L164" s="79"/>
      <c r="M164" s="79"/>
      <c r="N164" s="79"/>
      <c r="O164" s="79"/>
      <c r="P164" s="75">
        <f>P163+P162+P160</f>
        <v>7723.9054640000013</v>
      </c>
      <c r="Q164" s="79"/>
      <c r="R164" s="75">
        <f>R163+R162+R160</f>
        <v>123497.386490648</v>
      </c>
    </row>
    <row r="165" spans="1:18" ht="31.2" x14ac:dyDescent="0.3">
      <c r="A165" s="121" t="s">
        <v>73</v>
      </c>
      <c r="B165" s="121"/>
      <c r="C165" s="75" t="s">
        <v>75</v>
      </c>
      <c r="D165" s="120" t="s">
        <v>74</v>
      </c>
      <c r="E165" s="120"/>
      <c r="F165" s="120"/>
      <c r="G165" s="120"/>
      <c r="H165" s="120"/>
      <c r="I165" s="122" t="s">
        <v>76</v>
      </c>
      <c r="J165" s="122"/>
      <c r="K165" s="76">
        <v>0.73</v>
      </c>
      <c r="L165" s="77">
        <v>1</v>
      </c>
      <c r="M165" s="77">
        <f>K165</f>
        <v>0.73</v>
      </c>
      <c r="N165" s="78"/>
      <c r="O165" s="79"/>
      <c r="P165" s="79"/>
      <c r="Q165" s="79"/>
      <c r="R165" s="80"/>
    </row>
    <row r="166" spans="1:18" ht="15.6" x14ac:dyDescent="0.3">
      <c r="A166" s="118"/>
      <c r="B166" s="118"/>
      <c r="C166" s="81">
        <v>1</v>
      </c>
      <c r="D166" s="119" t="s">
        <v>32</v>
      </c>
      <c r="E166" s="119"/>
      <c r="F166" s="119"/>
      <c r="G166" s="119"/>
      <c r="H166" s="119"/>
      <c r="I166" s="118"/>
      <c r="J166" s="118"/>
      <c r="K166" s="79"/>
      <c r="L166" s="79"/>
      <c r="M166" s="79"/>
      <c r="N166" s="75">
        <v>520.45000000000005</v>
      </c>
      <c r="O166" s="79"/>
      <c r="P166" s="75">
        <f>M165*N166</f>
        <v>379.92850000000004</v>
      </c>
      <c r="Q166" s="75">
        <v>37.756999999999998</v>
      </c>
      <c r="R166" s="75">
        <f>P166*Q166</f>
        <v>14344.9603745</v>
      </c>
    </row>
    <row r="167" spans="1:18" ht="15.6" x14ac:dyDescent="0.3">
      <c r="A167" s="118"/>
      <c r="B167" s="118"/>
      <c r="C167" s="81">
        <v>3</v>
      </c>
      <c r="D167" s="119" t="s">
        <v>33</v>
      </c>
      <c r="E167" s="119"/>
      <c r="F167" s="119"/>
      <c r="G167" s="119"/>
      <c r="H167" s="119"/>
      <c r="I167" s="118"/>
      <c r="J167" s="118"/>
      <c r="K167" s="79"/>
      <c r="L167" s="79"/>
      <c r="M167" s="79"/>
      <c r="N167" s="75">
        <v>321.32</v>
      </c>
      <c r="O167" s="79"/>
      <c r="P167" s="75">
        <f>N167*M165</f>
        <v>234.56359999999998</v>
      </c>
      <c r="Q167" s="82">
        <v>21.128</v>
      </c>
      <c r="R167" s="75">
        <f>P167*Q167</f>
        <v>4955.8597407999996</v>
      </c>
    </row>
    <row r="168" spans="1:18" ht="15.6" x14ac:dyDescent="0.3">
      <c r="A168" s="118"/>
      <c r="B168" s="118"/>
      <c r="C168" s="81">
        <v>2</v>
      </c>
      <c r="D168" s="119" t="s">
        <v>34</v>
      </c>
      <c r="E168" s="119"/>
      <c r="F168" s="119"/>
      <c r="G168" s="119"/>
      <c r="H168" s="119"/>
      <c r="I168" s="118"/>
      <c r="J168" s="118"/>
      <c r="K168" s="79"/>
      <c r="L168" s="79"/>
      <c r="M168" s="79"/>
      <c r="N168" s="75">
        <v>4.5199999999999996</v>
      </c>
      <c r="O168" s="79"/>
      <c r="P168" s="75">
        <f>N168*M165</f>
        <v>3.2995999999999994</v>
      </c>
      <c r="Q168" s="75">
        <v>37.756999999999998</v>
      </c>
      <c r="R168" s="75">
        <f>P168*Q168</f>
        <v>124.58299719999997</v>
      </c>
    </row>
    <row r="169" spans="1:18" ht="15.6" x14ac:dyDescent="0.3">
      <c r="A169" s="118"/>
      <c r="B169" s="118"/>
      <c r="C169" s="81">
        <v>4</v>
      </c>
      <c r="D169" s="119" t="s">
        <v>35</v>
      </c>
      <c r="E169" s="119"/>
      <c r="F169" s="119"/>
      <c r="G169" s="119"/>
      <c r="H169" s="119"/>
      <c r="I169" s="118"/>
      <c r="J169" s="118"/>
      <c r="K169" s="79"/>
      <c r="L169" s="79"/>
      <c r="M169" s="79"/>
      <c r="N169" s="75">
        <v>1908.95</v>
      </c>
      <c r="O169" s="79"/>
      <c r="P169" s="75">
        <f>N169*M165</f>
        <v>1393.5335</v>
      </c>
      <c r="Q169" s="75">
        <v>13.002000000000001</v>
      </c>
      <c r="R169" s="75">
        <f>P169*Q169</f>
        <v>18118.722567000001</v>
      </c>
    </row>
    <row r="170" spans="1:18" ht="15.6" x14ac:dyDescent="0.3">
      <c r="A170" s="118"/>
      <c r="B170" s="118"/>
      <c r="C170" s="79"/>
      <c r="D170" s="119" t="s">
        <v>36</v>
      </c>
      <c r="E170" s="119"/>
      <c r="F170" s="119"/>
      <c r="G170" s="119"/>
      <c r="H170" s="119"/>
      <c r="I170" s="118"/>
      <c r="J170" s="118"/>
      <c r="K170" s="75">
        <v>46.18</v>
      </c>
      <c r="L170" s="79"/>
      <c r="M170" s="75">
        <f>K170*M165</f>
        <v>33.711399999999998</v>
      </c>
      <c r="N170" s="79"/>
      <c r="O170" s="79"/>
      <c r="P170" s="79"/>
      <c r="Q170" s="79"/>
      <c r="R170" s="80"/>
    </row>
    <row r="171" spans="1:18" ht="15.6" x14ac:dyDescent="0.3">
      <c r="A171" s="118"/>
      <c r="B171" s="118"/>
      <c r="C171" s="79"/>
      <c r="D171" s="119" t="s">
        <v>37</v>
      </c>
      <c r="E171" s="119"/>
      <c r="F171" s="119"/>
      <c r="G171" s="119"/>
      <c r="H171" s="119"/>
      <c r="I171" s="118"/>
      <c r="J171" s="118"/>
      <c r="K171" s="75">
        <v>0.39</v>
      </c>
      <c r="L171" s="79"/>
      <c r="M171" s="75">
        <f>K171*M165</f>
        <v>0.28470000000000001</v>
      </c>
      <c r="N171" s="79"/>
      <c r="O171" s="79"/>
      <c r="P171" s="79"/>
      <c r="Q171" s="79"/>
      <c r="R171" s="80"/>
    </row>
    <row r="172" spans="1:18" ht="15.6" x14ac:dyDescent="0.3">
      <c r="A172" s="118"/>
      <c r="B172" s="118"/>
      <c r="C172" s="79"/>
      <c r="D172" s="119" t="s">
        <v>38</v>
      </c>
      <c r="E172" s="119"/>
      <c r="F172" s="119"/>
      <c r="G172" s="119"/>
      <c r="H172" s="119"/>
      <c r="I172" s="118"/>
      <c r="J172" s="118"/>
      <c r="K172" s="79"/>
      <c r="L172" s="79"/>
      <c r="M172" s="79"/>
      <c r="N172" s="79"/>
      <c r="O172" s="79"/>
      <c r="P172" s="75">
        <f>SUM(P166:P169)</f>
        <v>2011.3252000000002</v>
      </c>
      <c r="Q172" s="79"/>
      <c r="R172" s="75">
        <f>SUM(R166:R169)</f>
        <v>37544.125679500001</v>
      </c>
    </row>
    <row r="173" spans="1:18" ht="15.6" x14ac:dyDescent="0.3">
      <c r="A173" s="118"/>
      <c r="B173" s="118"/>
      <c r="C173" s="79"/>
      <c r="D173" s="119" t="s">
        <v>39</v>
      </c>
      <c r="E173" s="119"/>
      <c r="F173" s="119"/>
      <c r="G173" s="119"/>
      <c r="H173" s="119"/>
      <c r="I173" s="118"/>
      <c r="J173" s="118"/>
      <c r="K173" s="79"/>
      <c r="L173" s="79"/>
      <c r="M173" s="79"/>
      <c r="N173" s="79"/>
      <c r="O173" s="79"/>
      <c r="P173" s="75">
        <f>P166+P168</f>
        <v>383.22810000000004</v>
      </c>
      <c r="Q173" s="79"/>
      <c r="R173" s="75">
        <f>R166+R168</f>
        <v>14469.5433717</v>
      </c>
    </row>
    <row r="174" spans="1:18" ht="31.2" x14ac:dyDescent="0.3">
      <c r="A174" s="118"/>
      <c r="B174" s="118"/>
      <c r="C174" s="75" t="s">
        <v>40</v>
      </c>
      <c r="D174" s="119" t="s">
        <v>41</v>
      </c>
      <c r="E174" s="119"/>
      <c r="F174" s="119"/>
      <c r="G174" s="119"/>
      <c r="H174" s="119"/>
      <c r="I174" s="120" t="s">
        <v>42</v>
      </c>
      <c r="J174" s="120"/>
      <c r="K174" s="75">
        <v>112</v>
      </c>
      <c r="L174" s="79"/>
      <c r="M174" s="79"/>
      <c r="N174" s="79"/>
      <c r="O174" s="79"/>
      <c r="P174" s="75">
        <f>P173*K174/100</f>
        <v>429.21547200000003</v>
      </c>
      <c r="Q174" s="79"/>
      <c r="R174" s="75">
        <f>R173*K174/100</f>
        <v>16205.888576304</v>
      </c>
    </row>
    <row r="175" spans="1:18" ht="31.2" x14ac:dyDescent="0.3">
      <c r="A175" s="118"/>
      <c r="B175" s="118"/>
      <c r="C175" s="75" t="s">
        <v>43</v>
      </c>
      <c r="D175" s="119" t="s">
        <v>44</v>
      </c>
      <c r="E175" s="119"/>
      <c r="F175" s="119"/>
      <c r="G175" s="119"/>
      <c r="H175" s="119"/>
      <c r="I175" s="120" t="s">
        <v>42</v>
      </c>
      <c r="J175" s="120"/>
      <c r="K175" s="75">
        <v>65</v>
      </c>
      <c r="L175" s="79"/>
      <c r="M175" s="79"/>
      <c r="N175" s="79"/>
      <c r="O175" s="79"/>
      <c r="P175" s="75">
        <f>P173*K175/100</f>
        <v>249.09826500000003</v>
      </c>
      <c r="Q175" s="79"/>
      <c r="R175" s="75">
        <f>R173*K175/100</f>
        <v>9405.203191605</v>
      </c>
    </row>
    <row r="176" spans="1:18" ht="15.6" x14ac:dyDescent="0.3">
      <c r="A176" s="118"/>
      <c r="B176" s="118"/>
      <c r="C176" s="79"/>
      <c r="D176" s="119" t="s">
        <v>45</v>
      </c>
      <c r="E176" s="119"/>
      <c r="F176" s="119"/>
      <c r="G176" s="119"/>
      <c r="H176" s="119"/>
      <c r="I176" s="118"/>
      <c r="J176" s="118"/>
      <c r="K176" s="79"/>
      <c r="L176" s="79"/>
      <c r="M176" s="79"/>
      <c r="N176" s="79"/>
      <c r="O176" s="79"/>
      <c r="P176" s="75">
        <f>P175+P174+P172</f>
        <v>2689.6389370000002</v>
      </c>
      <c r="Q176" s="79"/>
      <c r="R176" s="75">
        <f>R175+R174+R172</f>
        <v>63155.217447408999</v>
      </c>
    </row>
    <row r="177" spans="1:18" ht="31.2" x14ac:dyDescent="0.3">
      <c r="A177" s="121" t="s">
        <v>77</v>
      </c>
      <c r="B177" s="121"/>
      <c r="C177" s="75" t="s">
        <v>487</v>
      </c>
      <c r="D177" s="120" t="s">
        <v>486</v>
      </c>
      <c r="E177" s="120"/>
      <c r="F177" s="120"/>
      <c r="G177" s="120"/>
      <c r="H177" s="120"/>
      <c r="I177" s="122" t="s">
        <v>76</v>
      </c>
      <c r="J177" s="122"/>
      <c r="K177" s="76">
        <v>0.73</v>
      </c>
      <c r="L177" s="77">
        <v>1</v>
      </c>
      <c r="M177" s="77">
        <f>K177</f>
        <v>0.73</v>
      </c>
      <c r="N177" s="78"/>
      <c r="O177" s="79"/>
      <c r="P177" s="79"/>
      <c r="Q177" s="79"/>
      <c r="R177" s="80"/>
    </row>
    <row r="178" spans="1:18" ht="15.6" x14ac:dyDescent="0.3">
      <c r="A178" s="118"/>
      <c r="B178" s="118"/>
      <c r="C178" s="81">
        <v>1</v>
      </c>
      <c r="D178" s="119" t="s">
        <v>32</v>
      </c>
      <c r="E178" s="119"/>
      <c r="F178" s="119"/>
      <c r="G178" s="119"/>
      <c r="H178" s="119"/>
      <c r="I178" s="118"/>
      <c r="J178" s="118"/>
      <c r="K178" s="79"/>
      <c r="L178" s="79"/>
      <c r="M178" s="79"/>
      <c r="N178" s="75">
        <v>254.57</v>
      </c>
      <c r="O178" s="79"/>
      <c r="P178" s="75">
        <f>M177*N178</f>
        <v>185.83609999999999</v>
      </c>
      <c r="Q178" s="75">
        <v>37.756999999999998</v>
      </c>
      <c r="R178" s="75">
        <f>P178*Q178</f>
        <v>7016.6136276999987</v>
      </c>
    </row>
    <row r="179" spans="1:18" ht="15.6" x14ac:dyDescent="0.3">
      <c r="A179" s="118"/>
      <c r="B179" s="118"/>
      <c r="C179" s="81">
        <v>3</v>
      </c>
      <c r="D179" s="119" t="s">
        <v>33</v>
      </c>
      <c r="E179" s="119"/>
      <c r="F179" s="119"/>
      <c r="G179" s="119"/>
      <c r="H179" s="119"/>
      <c r="I179" s="118"/>
      <c r="J179" s="118"/>
      <c r="K179" s="79"/>
      <c r="L179" s="79"/>
      <c r="M179" s="79"/>
      <c r="N179" s="75">
        <v>91.05</v>
      </c>
      <c r="O179" s="79"/>
      <c r="P179" s="75">
        <f>N179*M177</f>
        <v>66.466499999999996</v>
      </c>
      <c r="Q179" s="82">
        <v>21.128</v>
      </c>
      <c r="R179" s="75">
        <f>P179*Q179</f>
        <v>1404.304212</v>
      </c>
    </row>
    <row r="180" spans="1:18" ht="15.6" x14ac:dyDescent="0.3">
      <c r="A180" s="118"/>
      <c r="B180" s="118"/>
      <c r="C180" s="81">
        <v>2</v>
      </c>
      <c r="D180" s="119" t="s">
        <v>34</v>
      </c>
      <c r="E180" s="119"/>
      <c r="F180" s="119"/>
      <c r="G180" s="119"/>
      <c r="H180" s="119"/>
      <c r="I180" s="118"/>
      <c r="J180" s="118"/>
      <c r="K180" s="79"/>
      <c r="L180" s="79"/>
      <c r="M180" s="79"/>
      <c r="N180" s="75">
        <v>2.09</v>
      </c>
      <c r="O180" s="79"/>
      <c r="P180" s="75">
        <f>N180*M177</f>
        <v>1.5256999999999998</v>
      </c>
      <c r="Q180" s="75">
        <v>37.756999999999998</v>
      </c>
      <c r="R180" s="75">
        <f>P180*Q180</f>
        <v>57.60585489999999</v>
      </c>
    </row>
    <row r="181" spans="1:18" ht="15.6" x14ac:dyDescent="0.3">
      <c r="A181" s="118"/>
      <c r="B181" s="118"/>
      <c r="C181" s="81">
        <v>4</v>
      </c>
      <c r="D181" s="119" t="s">
        <v>35</v>
      </c>
      <c r="E181" s="119"/>
      <c r="F181" s="119"/>
      <c r="G181" s="119"/>
      <c r="H181" s="119"/>
      <c r="I181" s="118"/>
      <c r="J181" s="118"/>
      <c r="K181" s="79"/>
      <c r="L181" s="79"/>
      <c r="M181" s="79"/>
      <c r="N181" s="75">
        <v>2234.69</v>
      </c>
      <c r="O181" s="79"/>
      <c r="P181" s="75">
        <f>N181*M177</f>
        <v>1631.3236999999999</v>
      </c>
      <c r="Q181" s="75">
        <v>13.002000000000001</v>
      </c>
      <c r="R181" s="75">
        <f>P181*Q181</f>
        <v>21210.470747399999</v>
      </c>
    </row>
    <row r="182" spans="1:18" ht="15.6" x14ac:dyDescent="0.3">
      <c r="A182" s="118"/>
      <c r="B182" s="118"/>
      <c r="C182" s="79"/>
      <c r="D182" s="119" t="s">
        <v>36</v>
      </c>
      <c r="E182" s="119"/>
      <c r="F182" s="119"/>
      <c r="G182" s="119"/>
      <c r="H182" s="119"/>
      <c r="I182" s="118"/>
      <c r="J182" s="118"/>
      <c r="K182" s="75">
        <v>28.38</v>
      </c>
      <c r="L182" s="79"/>
      <c r="M182" s="75">
        <f>K182*M177</f>
        <v>20.717399999999998</v>
      </c>
      <c r="N182" s="79"/>
      <c r="O182" s="79"/>
      <c r="P182" s="79"/>
      <c r="Q182" s="79"/>
      <c r="R182" s="80"/>
    </row>
    <row r="183" spans="1:18" ht="15.6" x14ac:dyDescent="0.3">
      <c r="A183" s="118"/>
      <c r="B183" s="118"/>
      <c r="C183" s="79"/>
      <c r="D183" s="119" t="s">
        <v>37</v>
      </c>
      <c r="E183" s="119"/>
      <c r="F183" s="119"/>
      <c r="G183" s="119"/>
      <c r="H183" s="119"/>
      <c r="I183" s="118"/>
      <c r="J183" s="118"/>
      <c r="K183" s="75">
        <v>0.18</v>
      </c>
      <c r="L183" s="79"/>
      <c r="M183" s="75">
        <f>K183*M177</f>
        <v>0.13139999999999999</v>
      </c>
      <c r="N183" s="79"/>
      <c r="O183" s="79"/>
      <c r="P183" s="79"/>
      <c r="Q183" s="79"/>
      <c r="R183" s="80"/>
    </row>
    <row r="184" spans="1:18" ht="15.6" x14ac:dyDescent="0.3">
      <c r="A184" s="118"/>
      <c r="B184" s="118"/>
      <c r="C184" s="79"/>
      <c r="D184" s="119" t="s">
        <v>38</v>
      </c>
      <c r="E184" s="119"/>
      <c r="F184" s="119"/>
      <c r="G184" s="119"/>
      <c r="H184" s="119"/>
      <c r="I184" s="118"/>
      <c r="J184" s="118"/>
      <c r="K184" s="79"/>
      <c r="L184" s="79"/>
      <c r="M184" s="79"/>
      <c r="N184" s="79"/>
      <c r="O184" s="79"/>
      <c r="P184" s="75">
        <f>SUM(P178:P181)</f>
        <v>1885.1519999999998</v>
      </c>
      <c r="Q184" s="79"/>
      <c r="R184" s="75">
        <f>SUM(R178:R181)</f>
        <v>29688.994441999999</v>
      </c>
    </row>
    <row r="185" spans="1:18" ht="15.6" x14ac:dyDescent="0.3">
      <c r="A185" s="118"/>
      <c r="B185" s="118"/>
      <c r="C185" s="79"/>
      <c r="D185" s="119" t="s">
        <v>39</v>
      </c>
      <c r="E185" s="119"/>
      <c r="F185" s="119"/>
      <c r="G185" s="119"/>
      <c r="H185" s="119"/>
      <c r="I185" s="118"/>
      <c r="J185" s="118"/>
      <c r="K185" s="79"/>
      <c r="L185" s="79"/>
      <c r="M185" s="79"/>
      <c r="N185" s="79"/>
      <c r="O185" s="79"/>
      <c r="P185" s="75">
        <f>P178+P180</f>
        <v>187.36179999999999</v>
      </c>
      <c r="Q185" s="79"/>
      <c r="R185" s="75">
        <f>R178+R180</f>
        <v>7074.2194825999986</v>
      </c>
    </row>
    <row r="186" spans="1:18" ht="31.2" x14ac:dyDescent="0.3">
      <c r="A186" s="118"/>
      <c r="B186" s="118"/>
      <c r="C186" s="75" t="s">
        <v>40</v>
      </c>
      <c r="D186" s="119" t="s">
        <v>41</v>
      </c>
      <c r="E186" s="119"/>
      <c r="F186" s="119"/>
      <c r="G186" s="119"/>
      <c r="H186" s="119"/>
      <c r="I186" s="120" t="s">
        <v>42</v>
      </c>
      <c r="J186" s="120"/>
      <c r="K186" s="75">
        <v>112</v>
      </c>
      <c r="L186" s="79"/>
      <c r="M186" s="79"/>
      <c r="N186" s="79"/>
      <c r="O186" s="79"/>
      <c r="P186" s="75">
        <f>P185*K186/100</f>
        <v>209.84521599999999</v>
      </c>
      <c r="Q186" s="79"/>
      <c r="R186" s="75">
        <f>R185*K186/100</f>
        <v>7923.1258205119984</v>
      </c>
    </row>
    <row r="187" spans="1:18" ht="31.2" x14ac:dyDescent="0.3">
      <c r="A187" s="118"/>
      <c r="B187" s="118"/>
      <c r="C187" s="75" t="s">
        <v>43</v>
      </c>
      <c r="D187" s="119" t="s">
        <v>44</v>
      </c>
      <c r="E187" s="119"/>
      <c r="F187" s="119"/>
      <c r="G187" s="119"/>
      <c r="H187" s="119"/>
      <c r="I187" s="120" t="s">
        <v>42</v>
      </c>
      <c r="J187" s="120"/>
      <c r="K187" s="75">
        <v>65</v>
      </c>
      <c r="L187" s="79"/>
      <c r="M187" s="79"/>
      <c r="N187" s="79"/>
      <c r="O187" s="79"/>
      <c r="P187" s="75">
        <f>P185*K187/100</f>
        <v>121.78516999999999</v>
      </c>
      <c r="Q187" s="79"/>
      <c r="R187" s="75">
        <f>R185*K187/100</f>
        <v>4598.2426636899991</v>
      </c>
    </row>
    <row r="188" spans="1:18" ht="15.6" x14ac:dyDescent="0.3">
      <c r="A188" s="118"/>
      <c r="B188" s="118"/>
      <c r="C188" s="79"/>
      <c r="D188" s="119" t="s">
        <v>45</v>
      </c>
      <c r="E188" s="119"/>
      <c r="F188" s="119"/>
      <c r="G188" s="119"/>
      <c r="H188" s="119"/>
      <c r="I188" s="118"/>
      <c r="J188" s="118"/>
      <c r="K188" s="79"/>
      <c r="L188" s="79"/>
      <c r="M188" s="79"/>
      <c r="N188" s="79"/>
      <c r="O188" s="79"/>
      <c r="P188" s="75">
        <f>P187+P186+P184</f>
        <v>2216.7823859999999</v>
      </c>
      <c r="Q188" s="79"/>
      <c r="R188" s="75">
        <f>R187+R186+R184</f>
        <v>42210.362926201997</v>
      </c>
    </row>
    <row r="189" spans="1:18" ht="31.2" x14ac:dyDescent="0.3">
      <c r="A189" s="121" t="s">
        <v>514</v>
      </c>
      <c r="B189" s="121"/>
      <c r="C189" s="75" t="s">
        <v>488</v>
      </c>
      <c r="D189" s="120" t="s">
        <v>489</v>
      </c>
      <c r="E189" s="120"/>
      <c r="F189" s="120"/>
      <c r="G189" s="120"/>
      <c r="H189" s="120"/>
      <c r="I189" s="122" t="s">
        <v>76</v>
      </c>
      <c r="J189" s="122"/>
      <c r="K189" s="76">
        <v>2.04</v>
      </c>
      <c r="L189" s="77">
        <v>1</v>
      </c>
      <c r="M189" s="77">
        <f>K189</f>
        <v>2.04</v>
      </c>
      <c r="N189" s="78"/>
      <c r="O189" s="79"/>
      <c r="P189" s="79"/>
      <c r="Q189" s="79"/>
      <c r="R189" s="80"/>
    </row>
    <row r="190" spans="1:18" ht="15.6" x14ac:dyDescent="0.3">
      <c r="A190" s="118"/>
      <c r="B190" s="118"/>
      <c r="C190" s="81">
        <v>1</v>
      </c>
      <c r="D190" s="119" t="s">
        <v>32</v>
      </c>
      <c r="E190" s="119"/>
      <c r="F190" s="119"/>
      <c r="G190" s="119"/>
      <c r="H190" s="119"/>
      <c r="I190" s="118"/>
      <c r="J190" s="118"/>
      <c r="K190" s="79"/>
      <c r="L190" s="79"/>
      <c r="M190" s="79"/>
      <c r="N190" s="75">
        <v>313.70999999999998</v>
      </c>
      <c r="O190" s="79"/>
      <c r="P190" s="75">
        <f>M189*N190</f>
        <v>639.96839999999997</v>
      </c>
      <c r="Q190" s="75">
        <v>37.756999999999998</v>
      </c>
      <c r="R190" s="75">
        <f>P190*Q190</f>
        <v>24163.286878799998</v>
      </c>
    </row>
    <row r="191" spans="1:18" ht="15.6" x14ac:dyDescent="0.3">
      <c r="A191" s="118"/>
      <c r="B191" s="118"/>
      <c r="C191" s="81">
        <v>3</v>
      </c>
      <c r="D191" s="119" t="s">
        <v>33</v>
      </c>
      <c r="E191" s="119"/>
      <c r="F191" s="119"/>
      <c r="G191" s="119"/>
      <c r="H191" s="119"/>
      <c r="I191" s="118"/>
      <c r="J191" s="118"/>
      <c r="K191" s="79"/>
      <c r="L191" s="79"/>
      <c r="M191" s="79"/>
      <c r="N191" s="75">
        <v>44.24</v>
      </c>
      <c r="O191" s="79"/>
      <c r="P191" s="75">
        <f>N191*M189</f>
        <v>90.249600000000001</v>
      </c>
      <c r="Q191" s="82">
        <v>21.128</v>
      </c>
      <c r="R191" s="75">
        <f>P191*Q191</f>
        <v>1906.7935488000001</v>
      </c>
    </row>
    <row r="192" spans="1:18" ht="15.6" x14ac:dyDescent="0.3">
      <c r="A192" s="118"/>
      <c r="B192" s="118"/>
      <c r="C192" s="81">
        <v>2</v>
      </c>
      <c r="D192" s="119" t="s">
        <v>34</v>
      </c>
      <c r="E192" s="119"/>
      <c r="F192" s="119"/>
      <c r="G192" s="119"/>
      <c r="H192" s="119"/>
      <c r="I192" s="118"/>
      <c r="J192" s="118"/>
      <c r="K192" s="79"/>
      <c r="L192" s="79"/>
      <c r="M192" s="79"/>
      <c r="N192" s="75">
        <v>14.73</v>
      </c>
      <c r="O192" s="79"/>
      <c r="P192" s="75">
        <f>N192*M189</f>
        <v>30.049200000000003</v>
      </c>
      <c r="Q192" s="75">
        <v>37.756999999999998</v>
      </c>
      <c r="R192" s="75">
        <f>P192*Q192</f>
        <v>1134.5676444000001</v>
      </c>
    </row>
    <row r="193" spans="1:18" ht="15.6" x14ac:dyDescent="0.3">
      <c r="A193" s="118"/>
      <c r="B193" s="118"/>
      <c r="C193" s="81">
        <v>4</v>
      </c>
      <c r="D193" s="119" t="s">
        <v>35</v>
      </c>
      <c r="E193" s="119"/>
      <c r="F193" s="119"/>
      <c r="G193" s="119"/>
      <c r="H193" s="119"/>
      <c r="I193" s="118"/>
      <c r="J193" s="118"/>
      <c r="K193" s="79"/>
      <c r="L193" s="79"/>
      <c r="M193" s="79"/>
      <c r="N193" s="75">
        <v>1127.07</v>
      </c>
      <c r="O193" s="79"/>
      <c r="P193" s="75">
        <f>N193*M189</f>
        <v>2299.2228</v>
      </c>
      <c r="Q193" s="75">
        <v>13.002000000000001</v>
      </c>
      <c r="R193" s="75">
        <f>P193*Q193</f>
        <v>29894.494845600002</v>
      </c>
    </row>
    <row r="194" spans="1:18" ht="15.6" x14ac:dyDescent="0.3">
      <c r="A194" s="118"/>
      <c r="B194" s="118"/>
      <c r="C194" s="79"/>
      <c r="D194" s="119" t="s">
        <v>36</v>
      </c>
      <c r="E194" s="119"/>
      <c r="F194" s="119"/>
      <c r="G194" s="119"/>
      <c r="H194" s="119"/>
      <c r="I194" s="118"/>
      <c r="J194" s="118"/>
      <c r="K194" s="75">
        <v>39.51</v>
      </c>
      <c r="L194" s="79"/>
      <c r="M194" s="75">
        <f>K194*M189</f>
        <v>80.600399999999993</v>
      </c>
      <c r="N194" s="79"/>
      <c r="O194" s="79"/>
      <c r="P194" s="79"/>
      <c r="Q194" s="79"/>
      <c r="R194" s="80"/>
    </row>
    <row r="195" spans="1:18" ht="15.6" x14ac:dyDescent="0.3">
      <c r="A195" s="118"/>
      <c r="B195" s="118"/>
      <c r="C195" s="79"/>
      <c r="D195" s="119" t="s">
        <v>37</v>
      </c>
      <c r="E195" s="119"/>
      <c r="F195" s="119"/>
      <c r="G195" s="119"/>
      <c r="H195" s="119"/>
      <c r="I195" s="118"/>
      <c r="J195" s="118"/>
      <c r="K195" s="75">
        <v>1.27</v>
      </c>
      <c r="L195" s="79"/>
      <c r="M195" s="75">
        <f>K195*M189</f>
        <v>2.5908000000000002</v>
      </c>
      <c r="N195" s="79"/>
      <c r="O195" s="79"/>
      <c r="P195" s="79"/>
      <c r="Q195" s="79"/>
      <c r="R195" s="80"/>
    </row>
    <row r="196" spans="1:18" ht="15.6" x14ac:dyDescent="0.3">
      <c r="A196" s="118"/>
      <c r="B196" s="118"/>
      <c r="C196" s="79"/>
      <c r="D196" s="119" t="s">
        <v>38</v>
      </c>
      <c r="E196" s="119"/>
      <c r="F196" s="119"/>
      <c r="G196" s="119"/>
      <c r="H196" s="119"/>
      <c r="I196" s="118"/>
      <c r="J196" s="118"/>
      <c r="K196" s="79"/>
      <c r="L196" s="79"/>
      <c r="M196" s="79"/>
      <c r="N196" s="79"/>
      <c r="O196" s="79"/>
      <c r="P196" s="75">
        <f>SUM(P190:P193)</f>
        <v>3059.49</v>
      </c>
      <c r="Q196" s="79"/>
      <c r="R196" s="75">
        <f>SUM(R190:R193)</f>
        <v>57099.142917599995</v>
      </c>
    </row>
    <row r="197" spans="1:18" ht="15.6" x14ac:dyDescent="0.3">
      <c r="A197" s="118"/>
      <c r="B197" s="118"/>
      <c r="C197" s="79"/>
      <c r="D197" s="119" t="s">
        <v>39</v>
      </c>
      <c r="E197" s="119"/>
      <c r="F197" s="119"/>
      <c r="G197" s="119"/>
      <c r="H197" s="119"/>
      <c r="I197" s="118"/>
      <c r="J197" s="118"/>
      <c r="K197" s="79"/>
      <c r="L197" s="79"/>
      <c r="M197" s="79"/>
      <c r="N197" s="79"/>
      <c r="O197" s="79"/>
      <c r="P197" s="75">
        <f>P190+P192</f>
        <v>670.01760000000002</v>
      </c>
      <c r="Q197" s="79"/>
      <c r="R197" s="75">
        <f>R190+R192</f>
        <v>25297.854523199996</v>
      </c>
    </row>
    <row r="198" spans="1:18" ht="31.2" x14ac:dyDescent="0.3">
      <c r="A198" s="118"/>
      <c r="B198" s="118"/>
      <c r="C198" s="75" t="s">
        <v>40</v>
      </c>
      <c r="D198" s="119" t="s">
        <v>41</v>
      </c>
      <c r="E198" s="119"/>
      <c r="F198" s="119"/>
      <c r="G198" s="119"/>
      <c r="H198" s="119"/>
      <c r="I198" s="120" t="s">
        <v>42</v>
      </c>
      <c r="J198" s="120"/>
      <c r="K198" s="75">
        <v>112</v>
      </c>
      <c r="L198" s="79"/>
      <c r="M198" s="79"/>
      <c r="N198" s="79"/>
      <c r="O198" s="79"/>
      <c r="P198" s="75">
        <f>P197*K198/100</f>
        <v>750.419712</v>
      </c>
      <c r="Q198" s="79"/>
      <c r="R198" s="75">
        <f>R197*K198/100</f>
        <v>28333.597065983995</v>
      </c>
    </row>
    <row r="199" spans="1:18" ht="31.2" x14ac:dyDescent="0.3">
      <c r="A199" s="118"/>
      <c r="B199" s="118"/>
      <c r="C199" s="75" t="s">
        <v>43</v>
      </c>
      <c r="D199" s="119" t="s">
        <v>44</v>
      </c>
      <c r="E199" s="119"/>
      <c r="F199" s="119"/>
      <c r="G199" s="119"/>
      <c r="H199" s="119"/>
      <c r="I199" s="120" t="s">
        <v>42</v>
      </c>
      <c r="J199" s="120"/>
      <c r="K199" s="75">
        <v>65</v>
      </c>
      <c r="L199" s="79"/>
      <c r="M199" s="79"/>
      <c r="N199" s="79"/>
      <c r="O199" s="79"/>
      <c r="P199" s="75">
        <f>P197*K199/100</f>
        <v>435.51143999999999</v>
      </c>
      <c r="Q199" s="79"/>
      <c r="R199" s="75">
        <f>R197*K199/100</f>
        <v>16443.605440079999</v>
      </c>
    </row>
    <row r="200" spans="1:18" ht="15.6" x14ac:dyDescent="0.3">
      <c r="A200" s="118"/>
      <c r="B200" s="118"/>
      <c r="C200" s="79"/>
      <c r="D200" s="119" t="s">
        <v>45</v>
      </c>
      <c r="E200" s="119"/>
      <c r="F200" s="119"/>
      <c r="G200" s="119"/>
      <c r="H200" s="119"/>
      <c r="I200" s="118"/>
      <c r="J200" s="118"/>
      <c r="K200" s="79"/>
      <c r="L200" s="79"/>
      <c r="M200" s="79"/>
      <c r="N200" s="79"/>
      <c r="O200" s="79"/>
      <c r="P200" s="75">
        <f>P199+P198+P196</f>
        <v>4245.4211519999999</v>
      </c>
      <c r="Q200" s="79"/>
      <c r="R200" s="75">
        <f>R199+R198+R196</f>
        <v>101876.345423664</v>
      </c>
    </row>
    <row r="201" spans="1:18" ht="15.6" x14ac:dyDescent="0.3">
      <c r="A201" s="123"/>
      <c r="B201" s="123"/>
      <c r="C201" s="79"/>
      <c r="D201" s="120" t="s">
        <v>78</v>
      </c>
      <c r="E201" s="120"/>
      <c r="F201" s="120"/>
      <c r="G201" s="120"/>
      <c r="H201" s="120"/>
      <c r="I201" s="123"/>
      <c r="J201" s="123"/>
      <c r="K201" s="79"/>
      <c r="L201" s="79"/>
      <c r="M201" s="79"/>
      <c r="N201" s="79"/>
      <c r="O201" s="79"/>
      <c r="P201" s="75">
        <f>P69+P84+P98+P114+P152+P164+P176+P200</f>
        <v>47885.129121000013</v>
      </c>
      <c r="Q201" s="79"/>
      <c r="R201" s="75">
        <f>R69+R84+R98+R114+R152+R164+R176+R200</f>
        <v>871319.8270914969</v>
      </c>
    </row>
    <row r="202" spans="1:18" ht="15.6" x14ac:dyDescent="0.3">
      <c r="A202" s="135" t="s">
        <v>79</v>
      </c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</row>
    <row r="203" spans="1:18" ht="31.2" x14ac:dyDescent="0.3">
      <c r="A203" s="121" t="s">
        <v>515</v>
      </c>
      <c r="B203" s="121"/>
      <c r="C203" s="75" t="s">
        <v>82</v>
      </c>
      <c r="D203" s="120" t="s">
        <v>81</v>
      </c>
      <c r="E203" s="120"/>
      <c r="F203" s="120"/>
      <c r="G203" s="120"/>
      <c r="H203" s="120"/>
      <c r="I203" s="122" t="s">
        <v>76</v>
      </c>
      <c r="J203" s="122"/>
      <c r="K203" s="76">
        <v>3.46</v>
      </c>
      <c r="L203" s="77">
        <v>1</v>
      </c>
      <c r="M203" s="77">
        <f>K203</f>
        <v>3.46</v>
      </c>
      <c r="N203" s="78"/>
      <c r="O203" s="79"/>
      <c r="P203" s="79"/>
      <c r="Q203" s="79"/>
      <c r="R203" s="80"/>
    </row>
    <row r="204" spans="1:18" ht="15.6" x14ac:dyDescent="0.3">
      <c r="A204" s="118"/>
      <c r="B204" s="118"/>
      <c r="C204" s="81">
        <v>1</v>
      </c>
      <c r="D204" s="119" t="s">
        <v>32</v>
      </c>
      <c r="E204" s="119"/>
      <c r="F204" s="119"/>
      <c r="G204" s="119"/>
      <c r="H204" s="119"/>
      <c r="I204" s="118"/>
      <c r="J204" s="118"/>
      <c r="K204" s="79"/>
      <c r="L204" s="79"/>
      <c r="M204" s="79"/>
      <c r="N204" s="75">
        <v>201.61</v>
      </c>
      <c r="O204" s="79"/>
      <c r="P204" s="75">
        <f>M203*N204</f>
        <v>697.57060000000001</v>
      </c>
      <c r="Q204" s="75">
        <v>37.756999999999998</v>
      </c>
      <c r="R204" s="75">
        <f>P204*Q204</f>
        <v>26338.173144199998</v>
      </c>
    </row>
    <row r="205" spans="1:18" ht="15.6" x14ac:dyDescent="0.3">
      <c r="A205" s="118"/>
      <c r="B205" s="118"/>
      <c r="C205" s="81">
        <v>3</v>
      </c>
      <c r="D205" s="119" t="s">
        <v>33</v>
      </c>
      <c r="E205" s="119"/>
      <c r="F205" s="119"/>
      <c r="G205" s="119"/>
      <c r="H205" s="119"/>
      <c r="I205" s="118"/>
      <c r="J205" s="118"/>
      <c r="K205" s="79"/>
      <c r="L205" s="79"/>
      <c r="M205" s="79"/>
      <c r="N205" s="75">
        <v>75.930000000000007</v>
      </c>
      <c r="O205" s="79"/>
      <c r="P205" s="75">
        <f>N205*M203</f>
        <v>262.71780000000001</v>
      </c>
      <c r="Q205" s="82">
        <v>21.128</v>
      </c>
      <c r="R205" s="75">
        <f>P205*Q205</f>
        <v>5550.7016784000007</v>
      </c>
    </row>
    <row r="206" spans="1:18" ht="15.6" x14ac:dyDescent="0.3">
      <c r="A206" s="118"/>
      <c r="B206" s="118"/>
      <c r="C206" s="81">
        <v>2</v>
      </c>
      <c r="D206" s="119" t="s">
        <v>34</v>
      </c>
      <c r="E206" s="119"/>
      <c r="F206" s="119"/>
      <c r="G206" s="119"/>
      <c r="H206" s="119"/>
      <c r="I206" s="118"/>
      <c r="J206" s="118"/>
      <c r="K206" s="79"/>
      <c r="L206" s="79"/>
      <c r="M206" s="79"/>
      <c r="N206" s="75">
        <v>0</v>
      </c>
      <c r="O206" s="79"/>
      <c r="P206" s="75">
        <f>N206*M203</f>
        <v>0</v>
      </c>
      <c r="Q206" s="75">
        <v>37.756999999999998</v>
      </c>
      <c r="R206" s="75">
        <f>P206*Q206</f>
        <v>0</v>
      </c>
    </row>
    <row r="207" spans="1:18" ht="15.6" x14ac:dyDescent="0.3">
      <c r="A207" s="118"/>
      <c r="B207" s="118"/>
      <c r="C207" s="81">
        <v>4</v>
      </c>
      <c r="D207" s="119" t="s">
        <v>35</v>
      </c>
      <c r="E207" s="119"/>
      <c r="F207" s="119"/>
      <c r="G207" s="119"/>
      <c r="H207" s="119"/>
      <c r="I207" s="118"/>
      <c r="J207" s="118"/>
      <c r="K207" s="79"/>
      <c r="L207" s="79"/>
      <c r="M207" s="79"/>
      <c r="N207" s="75">
        <v>898.48</v>
      </c>
      <c r="O207" s="79"/>
      <c r="P207" s="75">
        <f>N207*M203</f>
        <v>3108.7408</v>
      </c>
      <c r="Q207" s="75">
        <v>13.002000000000001</v>
      </c>
      <c r="R207" s="75">
        <f>P207*Q207</f>
        <v>40419.847881600006</v>
      </c>
    </row>
    <row r="208" spans="1:18" ht="15.6" x14ac:dyDescent="0.3">
      <c r="A208" s="118"/>
      <c r="B208" s="118"/>
      <c r="C208" s="79"/>
      <c r="D208" s="119" t="s">
        <v>36</v>
      </c>
      <c r="E208" s="119"/>
      <c r="F208" s="119"/>
      <c r="G208" s="119"/>
      <c r="H208" s="119"/>
      <c r="I208" s="118"/>
      <c r="J208" s="118"/>
      <c r="K208" s="75">
        <v>21.2</v>
      </c>
      <c r="L208" s="79"/>
      <c r="M208" s="75">
        <f>K208*M203</f>
        <v>73.352000000000004</v>
      </c>
      <c r="N208" s="79"/>
      <c r="O208" s="79"/>
      <c r="P208" s="79"/>
      <c r="Q208" s="79"/>
      <c r="R208" s="80"/>
    </row>
    <row r="209" spans="1:18" ht="15.6" x14ac:dyDescent="0.3">
      <c r="A209" s="118"/>
      <c r="B209" s="118"/>
      <c r="C209" s="79"/>
      <c r="D209" s="119" t="s">
        <v>37</v>
      </c>
      <c r="E209" s="119"/>
      <c r="F209" s="119"/>
      <c r="G209" s="119"/>
      <c r="H209" s="119"/>
      <c r="I209" s="118"/>
      <c r="J209" s="118"/>
      <c r="K209" s="75">
        <v>0</v>
      </c>
      <c r="L209" s="79"/>
      <c r="M209" s="75">
        <f>K209*M203</f>
        <v>0</v>
      </c>
      <c r="N209" s="79"/>
      <c r="O209" s="79"/>
      <c r="P209" s="79"/>
      <c r="Q209" s="79"/>
      <c r="R209" s="80"/>
    </row>
    <row r="210" spans="1:18" ht="15.6" x14ac:dyDescent="0.3">
      <c r="A210" s="118"/>
      <c r="B210" s="118"/>
      <c r="C210" s="79"/>
      <c r="D210" s="119" t="s">
        <v>38</v>
      </c>
      <c r="E210" s="119"/>
      <c r="F210" s="119"/>
      <c r="G210" s="119"/>
      <c r="H210" s="119"/>
      <c r="I210" s="118"/>
      <c r="J210" s="118"/>
      <c r="K210" s="79"/>
      <c r="L210" s="79"/>
      <c r="M210" s="79"/>
      <c r="N210" s="79"/>
      <c r="O210" s="79"/>
      <c r="P210" s="75">
        <f>SUM(P204:P207)</f>
        <v>4069.0291999999999</v>
      </c>
      <c r="Q210" s="79"/>
      <c r="R210" s="75">
        <f>SUM(R204:R207)</f>
        <v>72308.722704200001</v>
      </c>
    </row>
    <row r="211" spans="1:18" ht="15.6" x14ac:dyDescent="0.3">
      <c r="A211" s="118"/>
      <c r="B211" s="118"/>
      <c r="C211" s="79"/>
      <c r="D211" s="119" t="s">
        <v>39</v>
      </c>
      <c r="E211" s="119"/>
      <c r="F211" s="119"/>
      <c r="G211" s="119"/>
      <c r="H211" s="119"/>
      <c r="I211" s="118"/>
      <c r="J211" s="118"/>
      <c r="K211" s="79"/>
      <c r="L211" s="79"/>
      <c r="M211" s="79"/>
      <c r="N211" s="79"/>
      <c r="O211" s="79"/>
      <c r="P211" s="75">
        <f>P204+P206</f>
        <v>697.57060000000001</v>
      </c>
      <c r="Q211" s="79"/>
      <c r="R211" s="75">
        <f>R204+R206</f>
        <v>26338.173144199998</v>
      </c>
    </row>
    <row r="212" spans="1:18" ht="31.2" x14ac:dyDescent="0.3">
      <c r="A212" s="118"/>
      <c r="B212" s="118"/>
      <c r="C212" s="75" t="s">
        <v>40</v>
      </c>
      <c r="D212" s="119" t="s">
        <v>41</v>
      </c>
      <c r="E212" s="119"/>
      <c r="F212" s="119"/>
      <c r="G212" s="119"/>
      <c r="H212" s="119"/>
      <c r="I212" s="120" t="s">
        <v>42</v>
      </c>
      <c r="J212" s="120"/>
      <c r="K212" s="75">
        <v>110</v>
      </c>
      <c r="L212" s="79"/>
      <c r="M212" s="79"/>
      <c r="N212" s="79"/>
      <c r="O212" s="79"/>
      <c r="P212" s="75">
        <f>P211*K212/100</f>
        <v>767.32766000000004</v>
      </c>
      <c r="Q212" s="79"/>
      <c r="R212" s="75">
        <f>R211*K212/100</f>
        <v>28971.990458619999</v>
      </c>
    </row>
    <row r="213" spans="1:18" ht="31.2" x14ac:dyDescent="0.3">
      <c r="A213" s="118"/>
      <c r="B213" s="118"/>
      <c r="C213" s="75" t="s">
        <v>43</v>
      </c>
      <c r="D213" s="119" t="s">
        <v>44</v>
      </c>
      <c r="E213" s="119"/>
      <c r="F213" s="119"/>
      <c r="G213" s="119"/>
      <c r="H213" s="119"/>
      <c r="I213" s="120" t="s">
        <v>42</v>
      </c>
      <c r="J213" s="120"/>
      <c r="K213" s="75">
        <v>69</v>
      </c>
      <c r="L213" s="79"/>
      <c r="M213" s="79"/>
      <c r="N213" s="79"/>
      <c r="O213" s="79"/>
      <c r="P213" s="75">
        <f>P211*K213/100</f>
        <v>481.32371400000005</v>
      </c>
      <c r="Q213" s="79"/>
      <c r="R213" s="75">
        <f>R211*K213/100</f>
        <v>18173.339469497998</v>
      </c>
    </row>
    <row r="214" spans="1:18" ht="15.6" x14ac:dyDescent="0.3">
      <c r="A214" s="118"/>
      <c r="B214" s="118"/>
      <c r="C214" s="79"/>
      <c r="D214" s="119" t="s">
        <v>45</v>
      </c>
      <c r="E214" s="119"/>
      <c r="F214" s="119"/>
      <c r="G214" s="119"/>
      <c r="H214" s="119"/>
      <c r="I214" s="118"/>
      <c r="J214" s="118"/>
      <c r="K214" s="79"/>
      <c r="L214" s="79"/>
      <c r="M214" s="79"/>
      <c r="N214" s="79"/>
      <c r="O214" s="79"/>
      <c r="P214" s="75">
        <f>P213+P212+P210</f>
        <v>5317.680574</v>
      </c>
      <c r="Q214" s="79"/>
      <c r="R214" s="75">
        <f>R213+R212+R210</f>
        <v>119454.05263231799</v>
      </c>
    </row>
    <row r="215" spans="1:18" ht="31.2" x14ac:dyDescent="0.3">
      <c r="A215" s="121" t="s">
        <v>80</v>
      </c>
      <c r="B215" s="121"/>
      <c r="C215" s="75" t="s">
        <v>86</v>
      </c>
      <c r="D215" s="120" t="s">
        <v>84</v>
      </c>
      <c r="E215" s="120"/>
      <c r="F215" s="120"/>
      <c r="G215" s="120"/>
      <c r="H215" s="120"/>
      <c r="I215" s="122" t="s">
        <v>76</v>
      </c>
      <c r="J215" s="122"/>
      <c r="K215" s="76">
        <v>0.89</v>
      </c>
      <c r="L215" s="77">
        <v>1</v>
      </c>
      <c r="M215" s="77">
        <f>K215</f>
        <v>0.89</v>
      </c>
      <c r="N215" s="78"/>
      <c r="O215" s="79"/>
      <c r="P215" s="79"/>
      <c r="Q215" s="79"/>
      <c r="R215" s="80"/>
    </row>
    <row r="216" spans="1:18" ht="15.6" x14ac:dyDescent="0.3">
      <c r="A216" s="118"/>
      <c r="B216" s="118"/>
      <c r="C216" s="81">
        <v>1</v>
      </c>
      <c r="D216" s="119" t="s">
        <v>32</v>
      </c>
      <c r="E216" s="119"/>
      <c r="F216" s="119"/>
      <c r="G216" s="119"/>
      <c r="H216" s="119"/>
      <c r="I216" s="118"/>
      <c r="J216" s="118"/>
      <c r="K216" s="79"/>
      <c r="L216" s="79"/>
      <c r="M216" s="79"/>
      <c r="N216" s="75">
        <v>171.45</v>
      </c>
      <c r="O216" s="79"/>
      <c r="P216" s="75">
        <f>M215*N216</f>
        <v>152.59049999999999</v>
      </c>
      <c r="Q216" s="75">
        <v>37.756999999999998</v>
      </c>
      <c r="R216" s="75">
        <f>P216*Q216</f>
        <v>5761.3595084999997</v>
      </c>
    </row>
    <row r="217" spans="1:18" ht="15.6" x14ac:dyDescent="0.3">
      <c r="A217" s="118"/>
      <c r="B217" s="118"/>
      <c r="C217" s="81">
        <v>3</v>
      </c>
      <c r="D217" s="119" t="s">
        <v>33</v>
      </c>
      <c r="E217" s="119"/>
      <c r="F217" s="119"/>
      <c r="G217" s="119"/>
      <c r="H217" s="119"/>
      <c r="I217" s="118"/>
      <c r="J217" s="118"/>
      <c r="K217" s="79"/>
      <c r="L217" s="79"/>
      <c r="M217" s="79"/>
      <c r="N217" s="75">
        <v>163.32</v>
      </c>
      <c r="O217" s="79"/>
      <c r="P217" s="75">
        <f>N217*M215</f>
        <v>145.35479999999998</v>
      </c>
      <c r="Q217" s="82">
        <v>21.128</v>
      </c>
      <c r="R217" s="75">
        <f>P217*Q217</f>
        <v>3071.0562143999996</v>
      </c>
    </row>
    <row r="218" spans="1:18" ht="15.6" x14ac:dyDescent="0.3">
      <c r="A218" s="118"/>
      <c r="B218" s="118"/>
      <c r="C218" s="81">
        <v>2</v>
      </c>
      <c r="D218" s="119" t="s">
        <v>34</v>
      </c>
      <c r="E218" s="119"/>
      <c r="F218" s="119"/>
      <c r="G218" s="119"/>
      <c r="H218" s="119"/>
      <c r="I218" s="118"/>
      <c r="J218" s="118"/>
      <c r="K218" s="79"/>
      <c r="L218" s="79"/>
      <c r="M218" s="79"/>
      <c r="N218" s="75">
        <v>0</v>
      </c>
      <c r="O218" s="79"/>
      <c r="P218" s="75">
        <f>N218*M215</f>
        <v>0</v>
      </c>
      <c r="Q218" s="75">
        <v>37.756999999999998</v>
      </c>
      <c r="R218" s="75">
        <f>P218*Q218</f>
        <v>0</v>
      </c>
    </row>
    <row r="219" spans="1:18" ht="15.6" x14ac:dyDescent="0.3">
      <c r="A219" s="118"/>
      <c r="B219" s="118"/>
      <c r="C219" s="81">
        <v>4</v>
      </c>
      <c r="D219" s="119" t="s">
        <v>35</v>
      </c>
      <c r="E219" s="119"/>
      <c r="F219" s="119"/>
      <c r="G219" s="119"/>
      <c r="H219" s="119"/>
      <c r="I219" s="118"/>
      <c r="J219" s="118"/>
      <c r="K219" s="79"/>
      <c r="L219" s="79"/>
      <c r="M219" s="79"/>
      <c r="N219" s="75">
        <v>3922.95</v>
      </c>
      <c r="O219" s="79"/>
      <c r="P219" s="75">
        <f>N219*M215</f>
        <v>3491.4254999999998</v>
      </c>
      <c r="Q219" s="75">
        <v>13.002000000000001</v>
      </c>
      <c r="R219" s="75">
        <f>P219*Q219</f>
        <v>45395.514350999998</v>
      </c>
    </row>
    <row r="220" spans="1:18" ht="15.6" x14ac:dyDescent="0.3">
      <c r="A220" s="118"/>
      <c r="B220" s="118"/>
      <c r="C220" s="79"/>
      <c r="D220" s="119" t="s">
        <v>36</v>
      </c>
      <c r="E220" s="119"/>
      <c r="F220" s="119"/>
      <c r="G220" s="119"/>
      <c r="H220" s="119"/>
      <c r="I220" s="118"/>
      <c r="J220" s="118"/>
      <c r="K220" s="75">
        <v>20.100000000000001</v>
      </c>
      <c r="L220" s="79"/>
      <c r="M220" s="75">
        <f>K220*M215</f>
        <v>17.889000000000003</v>
      </c>
      <c r="N220" s="79"/>
      <c r="O220" s="79"/>
      <c r="P220" s="79"/>
      <c r="Q220" s="79"/>
      <c r="R220" s="80"/>
    </row>
    <row r="221" spans="1:18" ht="15.6" x14ac:dyDescent="0.3">
      <c r="A221" s="118"/>
      <c r="B221" s="118"/>
      <c r="C221" s="79"/>
      <c r="D221" s="119" t="s">
        <v>37</v>
      </c>
      <c r="E221" s="119"/>
      <c r="F221" s="119"/>
      <c r="G221" s="119"/>
      <c r="H221" s="119"/>
      <c r="I221" s="118"/>
      <c r="J221" s="118"/>
      <c r="K221" s="75">
        <v>0</v>
      </c>
      <c r="L221" s="79"/>
      <c r="M221" s="75">
        <f>K221*M215</f>
        <v>0</v>
      </c>
      <c r="N221" s="79"/>
      <c r="O221" s="79"/>
      <c r="P221" s="79"/>
      <c r="Q221" s="79"/>
      <c r="R221" s="80"/>
    </row>
    <row r="222" spans="1:18" ht="15.6" x14ac:dyDescent="0.3">
      <c r="A222" s="118"/>
      <c r="B222" s="118"/>
      <c r="C222" s="79"/>
      <c r="D222" s="119" t="s">
        <v>38</v>
      </c>
      <c r="E222" s="119"/>
      <c r="F222" s="119"/>
      <c r="G222" s="119"/>
      <c r="H222" s="119"/>
      <c r="I222" s="118"/>
      <c r="J222" s="118"/>
      <c r="K222" s="79"/>
      <c r="L222" s="79"/>
      <c r="M222" s="79"/>
      <c r="N222" s="79"/>
      <c r="O222" s="79"/>
      <c r="P222" s="75">
        <f>SUM(P216:P219)</f>
        <v>3789.3707999999997</v>
      </c>
      <c r="Q222" s="79"/>
      <c r="R222" s="75">
        <f>SUM(R216:R219)</f>
        <v>54227.930073899995</v>
      </c>
    </row>
    <row r="223" spans="1:18" ht="15.6" x14ac:dyDescent="0.3">
      <c r="A223" s="118"/>
      <c r="B223" s="118"/>
      <c r="C223" s="79"/>
      <c r="D223" s="119" t="s">
        <v>39</v>
      </c>
      <c r="E223" s="119"/>
      <c r="F223" s="119"/>
      <c r="G223" s="119"/>
      <c r="H223" s="119"/>
      <c r="I223" s="118"/>
      <c r="J223" s="118"/>
      <c r="K223" s="79"/>
      <c r="L223" s="79"/>
      <c r="M223" s="79"/>
      <c r="N223" s="79"/>
      <c r="O223" s="79"/>
      <c r="P223" s="75">
        <f>P216+P218</f>
        <v>152.59049999999999</v>
      </c>
      <c r="Q223" s="79"/>
      <c r="R223" s="75">
        <f>R216+R218</f>
        <v>5761.3595084999997</v>
      </c>
    </row>
    <row r="224" spans="1:18" ht="31.2" x14ac:dyDescent="0.3">
      <c r="A224" s="118"/>
      <c r="B224" s="118"/>
      <c r="C224" s="75" t="s">
        <v>40</v>
      </c>
      <c r="D224" s="119" t="s">
        <v>41</v>
      </c>
      <c r="E224" s="119"/>
      <c r="F224" s="119"/>
      <c r="G224" s="119"/>
      <c r="H224" s="119"/>
      <c r="I224" s="120" t="s">
        <v>42</v>
      </c>
      <c r="J224" s="120"/>
      <c r="K224" s="75">
        <v>110</v>
      </c>
      <c r="L224" s="79"/>
      <c r="M224" s="79"/>
      <c r="N224" s="79"/>
      <c r="O224" s="79"/>
      <c r="P224" s="75">
        <f>P223*K224/100</f>
        <v>167.84954999999999</v>
      </c>
      <c r="Q224" s="79"/>
      <c r="R224" s="75">
        <f>R223*K224/100</f>
        <v>6337.4954593499997</v>
      </c>
    </row>
    <row r="225" spans="1:18" ht="31.2" x14ac:dyDescent="0.3">
      <c r="A225" s="118"/>
      <c r="B225" s="118"/>
      <c r="C225" s="75" t="s">
        <v>43</v>
      </c>
      <c r="D225" s="119" t="s">
        <v>44</v>
      </c>
      <c r="E225" s="119"/>
      <c r="F225" s="119"/>
      <c r="G225" s="119"/>
      <c r="H225" s="119"/>
      <c r="I225" s="120" t="s">
        <v>42</v>
      </c>
      <c r="J225" s="120"/>
      <c r="K225" s="75">
        <v>69</v>
      </c>
      <c r="L225" s="79"/>
      <c r="M225" s="79"/>
      <c r="N225" s="79"/>
      <c r="O225" s="79"/>
      <c r="P225" s="75">
        <f>P223*K225/100</f>
        <v>105.28744499999999</v>
      </c>
      <c r="Q225" s="79"/>
      <c r="R225" s="75">
        <f>R223*K225/100</f>
        <v>3975.338060865</v>
      </c>
    </row>
    <row r="226" spans="1:18" ht="15.6" x14ac:dyDescent="0.3">
      <c r="A226" s="118"/>
      <c r="B226" s="118"/>
      <c r="C226" s="79"/>
      <c r="D226" s="119" t="s">
        <v>45</v>
      </c>
      <c r="E226" s="119"/>
      <c r="F226" s="119"/>
      <c r="G226" s="119"/>
      <c r="H226" s="119"/>
      <c r="I226" s="118"/>
      <c r="J226" s="118"/>
      <c r="K226" s="79"/>
      <c r="L226" s="79"/>
      <c r="M226" s="79"/>
      <c r="N226" s="79"/>
      <c r="O226" s="79"/>
      <c r="P226" s="75">
        <f>P225+P224+P222</f>
        <v>4062.5077949999995</v>
      </c>
      <c r="Q226" s="79"/>
      <c r="R226" s="75">
        <f>R225+R224+R222</f>
        <v>64540.763594114993</v>
      </c>
    </row>
    <row r="227" spans="1:18" ht="31.2" x14ac:dyDescent="0.3">
      <c r="A227" s="121" t="s">
        <v>83</v>
      </c>
      <c r="B227" s="121"/>
      <c r="C227" s="75" t="s">
        <v>490</v>
      </c>
      <c r="D227" s="120" t="s">
        <v>491</v>
      </c>
      <c r="E227" s="120"/>
      <c r="F227" s="120"/>
      <c r="G227" s="120"/>
      <c r="H227" s="120"/>
      <c r="I227" s="122" t="s">
        <v>31</v>
      </c>
      <c r="J227" s="122"/>
      <c r="K227" s="76">
        <v>0.11700000000000001</v>
      </c>
      <c r="L227" s="77">
        <v>1</v>
      </c>
      <c r="M227" s="77">
        <f>K227</f>
        <v>0.11700000000000001</v>
      </c>
      <c r="N227" s="78"/>
      <c r="O227" s="79"/>
      <c r="P227" s="79"/>
      <c r="Q227" s="79"/>
      <c r="R227" s="80"/>
    </row>
    <row r="228" spans="1:18" ht="15.6" x14ac:dyDescent="0.3">
      <c r="A228" s="118"/>
      <c r="B228" s="118"/>
      <c r="C228" s="81">
        <v>1</v>
      </c>
      <c r="D228" s="119" t="s">
        <v>32</v>
      </c>
      <c r="E228" s="119"/>
      <c r="F228" s="119"/>
      <c r="G228" s="119"/>
      <c r="H228" s="119"/>
      <c r="I228" s="118"/>
      <c r="J228" s="118"/>
      <c r="K228" s="79"/>
      <c r="L228" s="79"/>
      <c r="M228" s="79"/>
      <c r="N228" s="75">
        <v>0</v>
      </c>
      <c r="O228" s="79"/>
      <c r="P228" s="75">
        <f>M227*N228</f>
        <v>0</v>
      </c>
      <c r="Q228" s="75">
        <v>37.756999999999998</v>
      </c>
      <c r="R228" s="75">
        <f>P228*Q228</f>
        <v>0</v>
      </c>
    </row>
    <row r="229" spans="1:18" ht="15.6" x14ac:dyDescent="0.3">
      <c r="A229" s="118"/>
      <c r="B229" s="118"/>
      <c r="C229" s="81">
        <v>3</v>
      </c>
      <c r="D229" s="119" t="s">
        <v>33</v>
      </c>
      <c r="E229" s="119"/>
      <c r="F229" s="119"/>
      <c r="G229" s="119"/>
      <c r="H229" s="119"/>
      <c r="I229" s="118"/>
      <c r="J229" s="118"/>
      <c r="K229" s="79"/>
      <c r="L229" s="79"/>
      <c r="M229" s="79"/>
      <c r="N229" s="75">
        <v>632.15</v>
      </c>
      <c r="O229" s="79"/>
      <c r="P229" s="75">
        <f>N229*M227</f>
        <v>73.961550000000003</v>
      </c>
      <c r="Q229" s="82">
        <v>21.128</v>
      </c>
      <c r="R229" s="75">
        <f>P229*Q229</f>
        <v>1562.6596284</v>
      </c>
    </row>
    <row r="230" spans="1:18" ht="15.6" x14ac:dyDescent="0.3">
      <c r="A230" s="118"/>
      <c r="B230" s="118"/>
      <c r="C230" s="81">
        <v>2</v>
      </c>
      <c r="D230" s="119" t="s">
        <v>34</v>
      </c>
      <c r="E230" s="119"/>
      <c r="F230" s="119"/>
      <c r="G230" s="119"/>
      <c r="H230" s="119"/>
      <c r="I230" s="118"/>
      <c r="J230" s="118"/>
      <c r="K230" s="79"/>
      <c r="L230" s="79"/>
      <c r="M230" s="79"/>
      <c r="N230" s="75">
        <v>96.62</v>
      </c>
      <c r="O230" s="79"/>
      <c r="P230" s="75">
        <f>N230*M227</f>
        <v>11.304540000000001</v>
      </c>
      <c r="Q230" s="75">
        <v>37.756999999999998</v>
      </c>
      <c r="R230" s="75">
        <f>P230*Q230</f>
        <v>426.82551678000004</v>
      </c>
    </row>
    <row r="231" spans="1:18" ht="15.6" x14ac:dyDescent="0.3">
      <c r="A231" s="118"/>
      <c r="B231" s="118"/>
      <c r="C231" s="81">
        <v>4</v>
      </c>
      <c r="D231" s="119" t="s">
        <v>35</v>
      </c>
      <c r="E231" s="119"/>
      <c r="F231" s="119"/>
      <c r="G231" s="119"/>
      <c r="H231" s="119"/>
      <c r="I231" s="118"/>
      <c r="J231" s="118"/>
      <c r="K231" s="79"/>
      <c r="L231" s="79"/>
      <c r="M231" s="79"/>
      <c r="N231" s="75">
        <v>0</v>
      </c>
      <c r="O231" s="79"/>
      <c r="P231" s="75">
        <f>N231*M227</f>
        <v>0</v>
      </c>
      <c r="Q231" s="75">
        <v>13.002000000000001</v>
      </c>
      <c r="R231" s="75">
        <f>P231*Q231</f>
        <v>0</v>
      </c>
    </row>
    <row r="232" spans="1:18" ht="15.6" x14ac:dyDescent="0.3">
      <c r="A232" s="118"/>
      <c r="B232" s="118"/>
      <c r="C232" s="79"/>
      <c r="D232" s="119" t="s">
        <v>36</v>
      </c>
      <c r="E232" s="119"/>
      <c r="F232" s="119"/>
      <c r="G232" s="119"/>
      <c r="H232" s="119"/>
      <c r="I232" s="118"/>
      <c r="J232" s="118"/>
      <c r="K232" s="75">
        <v>0</v>
      </c>
      <c r="L232" s="79"/>
      <c r="M232" s="75">
        <f>K232*M227</f>
        <v>0</v>
      </c>
      <c r="N232" s="79"/>
      <c r="O232" s="79"/>
      <c r="P232" s="79"/>
      <c r="Q232" s="79"/>
      <c r="R232" s="80"/>
    </row>
    <row r="233" spans="1:18" ht="15.6" x14ac:dyDescent="0.3">
      <c r="A233" s="118"/>
      <c r="B233" s="118"/>
      <c r="C233" s="79"/>
      <c r="D233" s="119" t="s">
        <v>37</v>
      </c>
      <c r="E233" s="119"/>
      <c r="F233" s="119"/>
      <c r="G233" s="119"/>
      <c r="H233" s="119"/>
      <c r="I233" s="118"/>
      <c r="J233" s="118"/>
      <c r="K233" s="75">
        <v>6.71</v>
      </c>
      <c r="L233" s="79"/>
      <c r="M233" s="75">
        <f>K233*M227</f>
        <v>0.78507000000000005</v>
      </c>
      <c r="N233" s="79"/>
      <c r="O233" s="79"/>
      <c r="P233" s="79"/>
      <c r="Q233" s="79"/>
      <c r="R233" s="80"/>
    </row>
    <row r="234" spans="1:18" ht="15.6" x14ac:dyDescent="0.3">
      <c r="A234" s="118"/>
      <c r="B234" s="118"/>
      <c r="C234" s="79"/>
      <c r="D234" s="119" t="s">
        <v>38</v>
      </c>
      <c r="E234" s="119"/>
      <c r="F234" s="119"/>
      <c r="G234" s="119"/>
      <c r="H234" s="119"/>
      <c r="I234" s="118"/>
      <c r="J234" s="118"/>
      <c r="K234" s="79"/>
      <c r="L234" s="79"/>
      <c r="M234" s="79"/>
      <c r="N234" s="79"/>
      <c r="O234" s="79"/>
      <c r="P234" s="75">
        <f>SUM(P228:P231)</f>
        <v>85.266090000000005</v>
      </c>
      <c r="Q234" s="79"/>
      <c r="R234" s="75">
        <f>SUM(R228:R231)</f>
        <v>1989.48514518</v>
      </c>
    </row>
    <row r="235" spans="1:18" ht="15.6" x14ac:dyDescent="0.3">
      <c r="A235" s="118"/>
      <c r="B235" s="118"/>
      <c r="C235" s="79"/>
      <c r="D235" s="119" t="s">
        <v>39</v>
      </c>
      <c r="E235" s="119"/>
      <c r="F235" s="119"/>
      <c r="G235" s="119"/>
      <c r="H235" s="119"/>
      <c r="I235" s="118"/>
      <c r="J235" s="118"/>
      <c r="K235" s="79"/>
      <c r="L235" s="79"/>
      <c r="M235" s="79"/>
      <c r="N235" s="79"/>
      <c r="O235" s="79"/>
      <c r="P235" s="75">
        <f>P228+P230</f>
        <v>11.304540000000001</v>
      </c>
      <c r="Q235" s="79"/>
      <c r="R235" s="75">
        <f>R228+R230</f>
        <v>426.82551678000004</v>
      </c>
    </row>
    <row r="236" spans="1:18" ht="31.2" x14ac:dyDescent="0.3">
      <c r="A236" s="118"/>
      <c r="B236" s="118"/>
      <c r="C236" s="75" t="s">
        <v>40</v>
      </c>
      <c r="D236" s="119" t="s">
        <v>41</v>
      </c>
      <c r="E236" s="119"/>
      <c r="F236" s="119"/>
      <c r="G236" s="119"/>
      <c r="H236" s="119"/>
      <c r="I236" s="120" t="s">
        <v>42</v>
      </c>
      <c r="J236" s="120"/>
      <c r="K236" s="75">
        <v>92</v>
      </c>
      <c r="L236" s="79"/>
      <c r="M236" s="79"/>
      <c r="N236" s="79"/>
      <c r="O236" s="79"/>
      <c r="P236" s="75">
        <f>P235*K236/100</f>
        <v>10.400176800000002</v>
      </c>
      <c r="Q236" s="79"/>
      <c r="R236" s="75">
        <f>R235*K236/100</f>
        <v>392.67947543760005</v>
      </c>
    </row>
    <row r="237" spans="1:18" ht="31.2" x14ac:dyDescent="0.3">
      <c r="A237" s="118"/>
      <c r="B237" s="118"/>
      <c r="C237" s="75" t="s">
        <v>43</v>
      </c>
      <c r="D237" s="119" t="s">
        <v>44</v>
      </c>
      <c r="E237" s="119"/>
      <c r="F237" s="119"/>
      <c r="G237" s="119"/>
      <c r="H237" s="119"/>
      <c r="I237" s="120" t="s">
        <v>42</v>
      </c>
      <c r="J237" s="120"/>
      <c r="K237" s="75">
        <v>46</v>
      </c>
      <c r="L237" s="79"/>
      <c r="M237" s="79"/>
      <c r="N237" s="79"/>
      <c r="O237" s="79"/>
      <c r="P237" s="75">
        <f>P235*K237/100</f>
        <v>5.2000884000000012</v>
      </c>
      <c r="Q237" s="79"/>
      <c r="R237" s="75">
        <f>R235*K237/100</f>
        <v>196.33973771880002</v>
      </c>
    </row>
    <row r="238" spans="1:18" ht="15.6" x14ac:dyDescent="0.3">
      <c r="A238" s="118"/>
      <c r="B238" s="118"/>
      <c r="C238" s="79"/>
      <c r="D238" s="119" t="s">
        <v>45</v>
      </c>
      <c r="E238" s="119"/>
      <c r="F238" s="119"/>
      <c r="G238" s="119"/>
      <c r="H238" s="119"/>
      <c r="I238" s="118"/>
      <c r="J238" s="118"/>
      <c r="K238" s="79"/>
      <c r="L238" s="79"/>
      <c r="M238" s="79"/>
      <c r="N238" s="79"/>
      <c r="O238" s="79"/>
      <c r="P238" s="75">
        <f>P237+P236+P234</f>
        <v>100.86635520000002</v>
      </c>
      <c r="Q238" s="79"/>
      <c r="R238" s="75">
        <f>R237+R236+R234</f>
        <v>2578.5043583363999</v>
      </c>
    </row>
    <row r="239" spans="1:18" ht="15.6" x14ac:dyDescent="0.3">
      <c r="A239" s="121" t="s">
        <v>85</v>
      </c>
      <c r="B239" s="121"/>
      <c r="C239" s="75" t="s">
        <v>89</v>
      </c>
      <c r="D239" s="120" t="s">
        <v>90</v>
      </c>
      <c r="E239" s="120"/>
      <c r="F239" s="120"/>
      <c r="G239" s="120"/>
      <c r="H239" s="120"/>
      <c r="I239" s="122" t="s">
        <v>64</v>
      </c>
      <c r="J239" s="122"/>
      <c r="K239" s="76">
        <v>4.8000000000000001E-2</v>
      </c>
      <c r="L239" s="77">
        <v>1</v>
      </c>
      <c r="M239" s="77">
        <f>K239</f>
        <v>4.8000000000000001E-2</v>
      </c>
      <c r="N239" s="78"/>
      <c r="O239" s="79"/>
      <c r="P239" s="79"/>
      <c r="Q239" s="79"/>
      <c r="R239" s="80"/>
    </row>
    <row r="240" spans="1:18" ht="15.6" x14ac:dyDescent="0.3">
      <c r="A240" s="118"/>
      <c r="B240" s="118"/>
      <c r="C240" s="81">
        <v>1</v>
      </c>
      <c r="D240" s="119" t="s">
        <v>32</v>
      </c>
      <c r="E240" s="119"/>
      <c r="F240" s="119"/>
      <c r="G240" s="119"/>
      <c r="H240" s="119"/>
      <c r="I240" s="118"/>
      <c r="J240" s="118"/>
      <c r="K240" s="79"/>
      <c r="L240" s="79"/>
      <c r="M240" s="79"/>
      <c r="N240" s="75">
        <v>106.88</v>
      </c>
      <c r="O240" s="79"/>
      <c r="P240" s="75">
        <f>M239*N240</f>
        <v>5.1302399999999997</v>
      </c>
      <c r="Q240" s="75">
        <v>37.756999999999998</v>
      </c>
      <c r="R240" s="75">
        <f>P240*Q240</f>
        <v>193.70247167999997</v>
      </c>
    </row>
    <row r="241" spans="1:18" ht="15.6" x14ac:dyDescent="0.3">
      <c r="A241" s="118"/>
      <c r="B241" s="118"/>
      <c r="C241" s="81">
        <v>3</v>
      </c>
      <c r="D241" s="119" t="s">
        <v>33</v>
      </c>
      <c r="E241" s="119"/>
      <c r="F241" s="119"/>
      <c r="G241" s="119"/>
      <c r="H241" s="119"/>
      <c r="I241" s="118"/>
      <c r="J241" s="118"/>
      <c r="K241" s="79"/>
      <c r="L241" s="79"/>
      <c r="M241" s="79"/>
      <c r="N241" s="75">
        <v>310.73</v>
      </c>
      <c r="O241" s="79"/>
      <c r="P241" s="75">
        <f>N241*M239</f>
        <v>14.915040000000001</v>
      </c>
      <c r="Q241" s="82">
        <v>21.128</v>
      </c>
      <c r="R241" s="75">
        <f>P241*Q241</f>
        <v>315.12496512000001</v>
      </c>
    </row>
    <row r="242" spans="1:18" ht="15.6" x14ac:dyDescent="0.3">
      <c r="A242" s="118"/>
      <c r="B242" s="118"/>
      <c r="C242" s="81">
        <v>2</v>
      </c>
      <c r="D242" s="119" t="s">
        <v>34</v>
      </c>
      <c r="E242" s="119"/>
      <c r="F242" s="119"/>
      <c r="G242" s="119"/>
      <c r="H242" s="119"/>
      <c r="I242" s="118"/>
      <c r="J242" s="118"/>
      <c r="K242" s="79"/>
      <c r="L242" s="79"/>
      <c r="M242" s="79"/>
      <c r="N242" s="75">
        <v>30.58</v>
      </c>
      <c r="O242" s="79"/>
      <c r="P242" s="75">
        <f>N242*M239</f>
        <v>1.46784</v>
      </c>
      <c r="Q242" s="75">
        <v>37.756999999999998</v>
      </c>
      <c r="R242" s="75">
        <f>P242*Q242</f>
        <v>55.42123488</v>
      </c>
    </row>
    <row r="243" spans="1:18" ht="15.6" x14ac:dyDescent="0.3">
      <c r="A243" s="118"/>
      <c r="B243" s="118"/>
      <c r="C243" s="81">
        <v>4</v>
      </c>
      <c r="D243" s="119" t="s">
        <v>35</v>
      </c>
      <c r="E243" s="119"/>
      <c r="F243" s="119"/>
      <c r="G243" s="119"/>
      <c r="H243" s="119"/>
      <c r="I243" s="118"/>
      <c r="J243" s="118"/>
      <c r="K243" s="79"/>
      <c r="L243" s="79"/>
      <c r="M243" s="79"/>
      <c r="N243" s="75">
        <v>0</v>
      </c>
      <c r="O243" s="79"/>
      <c r="P243" s="75">
        <f>N243*M239</f>
        <v>0</v>
      </c>
      <c r="Q243" s="75">
        <v>13.002000000000001</v>
      </c>
      <c r="R243" s="75">
        <f>P243*Q243</f>
        <v>0</v>
      </c>
    </row>
    <row r="244" spans="1:18" ht="15.6" x14ac:dyDescent="0.3">
      <c r="A244" s="118"/>
      <c r="B244" s="118"/>
      <c r="C244" s="79"/>
      <c r="D244" s="122" t="s">
        <v>36</v>
      </c>
      <c r="E244" s="122"/>
      <c r="F244" s="122"/>
      <c r="G244" s="122"/>
      <c r="H244" s="122"/>
      <c r="I244" s="118"/>
      <c r="J244" s="118"/>
      <c r="K244" s="75">
        <v>12.53</v>
      </c>
      <c r="L244" s="79"/>
      <c r="M244" s="75">
        <f>K244*M239</f>
        <v>0.60143999999999997</v>
      </c>
      <c r="N244" s="79"/>
      <c r="O244" s="79"/>
      <c r="P244" s="79"/>
      <c r="Q244" s="79"/>
      <c r="R244" s="80"/>
    </row>
    <row r="245" spans="1:18" ht="15.6" x14ac:dyDescent="0.3">
      <c r="A245" s="118"/>
      <c r="B245" s="118"/>
      <c r="C245" s="79"/>
      <c r="D245" s="119" t="s">
        <v>37</v>
      </c>
      <c r="E245" s="119"/>
      <c r="F245" s="119"/>
      <c r="G245" s="119"/>
      <c r="H245" s="119"/>
      <c r="I245" s="118"/>
      <c r="J245" s="118"/>
      <c r="K245" s="75">
        <v>3.04</v>
      </c>
      <c r="L245" s="79"/>
      <c r="M245" s="75">
        <f>K245*M239</f>
        <v>0.14591999999999999</v>
      </c>
      <c r="N245" s="79"/>
      <c r="O245" s="79"/>
      <c r="P245" s="79"/>
      <c r="Q245" s="79"/>
      <c r="R245" s="80"/>
    </row>
    <row r="246" spans="1:18" ht="15.6" x14ac:dyDescent="0.3">
      <c r="A246" s="118"/>
      <c r="B246" s="118"/>
      <c r="C246" s="79"/>
      <c r="D246" s="119" t="s">
        <v>38</v>
      </c>
      <c r="E246" s="119"/>
      <c r="F246" s="119"/>
      <c r="G246" s="119"/>
      <c r="H246" s="119"/>
      <c r="I246" s="118"/>
      <c r="J246" s="118"/>
      <c r="K246" s="79"/>
      <c r="L246" s="79"/>
      <c r="M246" s="79"/>
      <c r="N246" s="79"/>
      <c r="O246" s="79"/>
      <c r="P246" s="75">
        <f>SUM(P240:P243)</f>
        <v>21.513120000000001</v>
      </c>
      <c r="Q246" s="79"/>
      <c r="R246" s="75">
        <f>SUM(R240:R243)</f>
        <v>564.24867168000003</v>
      </c>
    </row>
    <row r="247" spans="1:18" ht="15.6" x14ac:dyDescent="0.3">
      <c r="A247" s="118"/>
      <c r="B247" s="118"/>
      <c r="C247" s="79"/>
      <c r="D247" s="119" t="s">
        <v>39</v>
      </c>
      <c r="E247" s="119"/>
      <c r="F247" s="119"/>
      <c r="G247" s="119"/>
      <c r="H247" s="119"/>
      <c r="I247" s="118"/>
      <c r="J247" s="118"/>
      <c r="K247" s="79"/>
      <c r="L247" s="79"/>
      <c r="M247" s="79"/>
      <c r="N247" s="79"/>
      <c r="O247" s="79"/>
      <c r="P247" s="75">
        <f>P240+P242</f>
        <v>6.5980799999999995</v>
      </c>
      <c r="Q247" s="79"/>
      <c r="R247" s="75">
        <f>R240+R242</f>
        <v>249.12370655999996</v>
      </c>
    </row>
    <row r="248" spans="1:18" ht="31.2" x14ac:dyDescent="0.3">
      <c r="A248" s="118"/>
      <c r="B248" s="118"/>
      <c r="C248" s="75" t="s">
        <v>40</v>
      </c>
      <c r="D248" s="119" t="s">
        <v>41</v>
      </c>
      <c r="E248" s="119"/>
      <c r="F248" s="119"/>
      <c r="G248" s="119"/>
      <c r="H248" s="119"/>
      <c r="I248" s="120" t="s">
        <v>42</v>
      </c>
      <c r="J248" s="120"/>
      <c r="K248" s="75">
        <v>89</v>
      </c>
      <c r="L248" s="79"/>
      <c r="M248" s="79"/>
      <c r="N248" s="79"/>
      <c r="O248" s="79"/>
      <c r="P248" s="75">
        <f>P247*K248/100</f>
        <v>5.8722911999999994</v>
      </c>
      <c r="Q248" s="79"/>
      <c r="R248" s="75">
        <f>R247*K248/100</f>
        <v>221.72009883839996</v>
      </c>
    </row>
    <row r="249" spans="1:18" ht="31.2" x14ac:dyDescent="0.3">
      <c r="A249" s="118"/>
      <c r="B249" s="118"/>
      <c r="C249" s="75" t="s">
        <v>43</v>
      </c>
      <c r="D249" s="119" t="s">
        <v>44</v>
      </c>
      <c r="E249" s="119"/>
      <c r="F249" s="119"/>
      <c r="G249" s="119"/>
      <c r="H249" s="119"/>
      <c r="I249" s="120" t="s">
        <v>42</v>
      </c>
      <c r="J249" s="120"/>
      <c r="K249" s="75">
        <v>40</v>
      </c>
      <c r="L249" s="79"/>
      <c r="M249" s="79"/>
      <c r="N249" s="79"/>
      <c r="O249" s="79"/>
      <c r="P249" s="75">
        <f>P247*K249/100</f>
        <v>2.6392319999999994</v>
      </c>
      <c r="Q249" s="79"/>
      <c r="R249" s="75">
        <f>R247*K249/100</f>
        <v>99.649482623999972</v>
      </c>
    </row>
    <row r="250" spans="1:18" ht="15.6" x14ac:dyDescent="0.3">
      <c r="A250" s="118"/>
      <c r="B250" s="118"/>
      <c r="C250" s="79"/>
      <c r="D250" s="119" t="s">
        <v>45</v>
      </c>
      <c r="E250" s="119"/>
      <c r="F250" s="119"/>
      <c r="G250" s="119"/>
      <c r="H250" s="119"/>
      <c r="I250" s="118"/>
      <c r="J250" s="118"/>
      <c r="K250" s="79"/>
      <c r="L250" s="79"/>
      <c r="M250" s="79"/>
      <c r="N250" s="79"/>
      <c r="O250" s="79"/>
      <c r="P250" s="75">
        <f>P249+P248+P246</f>
        <v>30.0246432</v>
      </c>
      <c r="Q250" s="79"/>
      <c r="R250" s="75">
        <f>R249+R248+R246</f>
        <v>885.61825314239991</v>
      </c>
    </row>
    <row r="251" spans="1:18" ht="15.6" x14ac:dyDescent="0.3">
      <c r="A251" s="123"/>
      <c r="B251" s="123"/>
      <c r="C251" s="79"/>
      <c r="D251" s="120" t="s">
        <v>91</v>
      </c>
      <c r="E251" s="120"/>
      <c r="F251" s="120"/>
      <c r="G251" s="120"/>
      <c r="H251" s="120"/>
      <c r="I251" s="123"/>
      <c r="J251" s="123"/>
      <c r="K251" s="79"/>
      <c r="L251" s="79"/>
      <c r="M251" s="79"/>
      <c r="N251" s="79"/>
      <c r="O251" s="79"/>
      <c r="P251" s="75">
        <f>P214+P226+P250+P238</f>
        <v>9511.0793673999997</v>
      </c>
      <c r="Q251" s="79"/>
      <c r="R251" s="75">
        <f>R214+R226+R238+R250</f>
        <v>187458.93883791176</v>
      </c>
    </row>
    <row r="252" spans="1:18" ht="15.6" x14ac:dyDescent="0.3">
      <c r="A252" s="157" t="s">
        <v>92</v>
      </c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</row>
    <row r="253" spans="1:18" ht="15.6" x14ac:dyDescent="0.3">
      <c r="A253" s="157" t="s">
        <v>93</v>
      </c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</row>
    <row r="254" spans="1:18" ht="15.6" x14ac:dyDescent="0.3">
      <c r="A254" s="121" t="s">
        <v>88</v>
      </c>
      <c r="B254" s="121"/>
      <c r="C254" s="75" t="s">
        <v>96</v>
      </c>
      <c r="D254" s="122" t="s">
        <v>95</v>
      </c>
      <c r="E254" s="122"/>
      <c r="F254" s="122"/>
      <c r="G254" s="122"/>
      <c r="H254" s="122"/>
      <c r="I254" s="122" t="s">
        <v>50</v>
      </c>
      <c r="J254" s="122"/>
      <c r="K254" s="76">
        <v>73.400000000000006</v>
      </c>
      <c r="L254" s="77">
        <v>1</v>
      </c>
      <c r="M254" s="77">
        <f>K254</f>
        <v>73.400000000000006</v>
      </c>
      <c r="N254" s="78"/>
      <c r="O254" s="79"/>
      <c r="P254" s="79"/>
      <c r="Q254" s="79"/>
      <c r="R254" s="80"/>
    </row>
    <row r="255" spans="1:18" ht="15.6" x14ac:dyDescent="0.3">
      <c r="A255" s="118"/>
      <c r="B255" s="118"/>
      <c r="C255" s="81">
        <v>1</v>
      </c>
      <c r="D255" s="119" t="s">
        <v>32</v>
      </c>
      <c r="E255" s="119"/>
      <c r="F255" s="119"/>
      <c r="G255" s="119"/>
      <c r="H255" s="119"/>
      <c r="I255" s="118"/>
      <c r="J255" s="118"/>
      <c r="K255" s="79"/>
      <c r="L255" s="79"/>
      <c r="M255" s="79"/>
      <c r="N255" s="75">
        <v>62.32</v>
      </c>
      <c r="O255" s="79"/>
      <c r="P255" s="75">
        <f>M254*N255</f>
        <v>4574.2880000000005</v>
      </c>
      <c r="Q255" s="75">
        <v>37.756999999999998</v>
      </c>
      <c r="R255" s="75">
        <f>P255*Q255</f>
        <v>172711.392016</v>
      </c>
    </row>
    <row r="256" spans="1:18" ht="15.6" x14ac:dyDescent="0.3">
      <c r="A256" s="118"/>
      <c r="B256" s="118"/>
      <c r="C256" s="81">
        <v>3</v>
      </c>
      <c r="D256" s="119" t="s">
        <v>33</v>
      </c>
      <c r="E256" s="119"/>
      <c r="F256" s="119"/>
      <c r="G256" s="119"/>
      <c r="H256" s="119"/>
      <c r="I256" s="118"/>
      <c r="J256" s="118"/>
      <c r="K256" s="79"/>
      <c r="L256" s="79"/>
      <c r="M256" s="79"/>
      <c r="N256" s="75">
        <v>37.19</v>
      </c>
      <c r="O256" s="79"/>
      <c r="P256" s="75">
        <f>N256*M254</f>
        <v>2729.7460000000001</v>
      </c>
      <c r="Q256" s="82">
        <v>21.128</v>
      </c>
      <c r="R256" s="75">
        <f>P256*Q256</f>
        <v>57674.073488000002</v>
      </c>
    </row>
    <row r="257" spans="1:18" ht="15.6" x14ac:dyDescent="0.3">
      <c r="A257" s="118"/>
      <c r="B257" s="118"/>
      <c r="C257" s="81">
        <v>2</v>
      </c>
      <c r="D257" s="119" t="s">
        <v>34</v>
      </c>
      <c r="E257" s="119"/>
      <c r="F257" s="119"/>
      <c r="G257" s="119"/>
      <c r="H257" s="119"/>
      <c r="I257" s="118"/>
      <c r="J257" s="118"/>
      <c r="K257" s="79"/>
      <c r="L257" s="79"/>
      <c r="M257" s="79"/>
      <c r="N257" s="75">
        <v>5.13</v>
      </c>
      <c r="O257" s="79"/>
      <c r="P257" s="75">
        <f>N257*M254</f>
        <v>376.54200000000003</v>
      </c>
      <c r="Q257" s="75">
        <v>37.756999999999998</v>
      </c>
      <c r="R257" s="75">
        <f>P257*Q257</f>
        <v>14217.096294000001</v>
      </c>
    </row>
    <row r="258" spans="1:18" ht="15.6" x14ac:dyDescent="0.3">
      <c r="A258" s="118"/>
      <c r="B258" s="118"/>
      <c r="C258" s="81">
        <v>4</v>
      </c>
      <c r="D258" s="119" t="s">
        <v>35</v>
      </c>
      <c r="E258" s="119"/>
      <c r="F258" s="119"/>
      <c r="G258" s="119"/>
      <c r="H258" s="119"/>
      <c r="I258" s="118"/>
      <c r="J258" s="118"/>
      <c r="K258" s="79"/>
      <c r="L258" s="79"/>
      <c r="M258" s="79"/>
      <c r="N258" s="75">
        <v>944.6</v>
      </c>
      <c r="O258" s="79"/>
      <c r="P258" s="75">
        <f>N258*M254</f>
        <v>69333.640000000014</v>
      </c>
      <c r="Q258" s="75">
        <v>13.002000000000001</v>
      </c>
      <c r="R258" s="75">
        <f>P258*Q258</f>
        <v>901475.98728000023</v>
      </c>
    </row>
    <row r="259" spans="1:18" ht="15.6" x14ac:dyDescent="0.3">
      <c r="A259" s="118"/>
      <c r="B259" s="118"/>
      <c r="C259" s="79"/>
      <c r="D259" s="119" t="s">
        <v>36</v>
      </c>
      <c r="E259" s="119"/>
      <c r="F259" s="119"/>
      <c r="G259" s="119"/>
      <c r="H259" s="119"/>
      <c r="I259" s="118"/>
      <c r="J259" s="118"/>
      <c r="K259" s="75">
        <v>7.13</v>
      </c>
      <c r="L259" s="79"/>
      <c r="M259" s="75">
        <f>K259*M254</f>
        <v>523.34199999999998</v>
      </c>
      <c r="N259" s="79"/>
      <c r="O259" s="79"/>
      <c r="P259" s="79"/>
      <c r="Q259" s="79"/>
      <c r="R259" s="80"/>
    </row>
    <row r="260" spans="1:18" ht="15.6" x14ac:dyDescent="0.3">
      <c r="A260" s="118"/>
      <c r="B260" s="118"/>
      <c r="C260" s="79"/>
      <c r="D260" s="119" t="s">
        <v>37</v>
      </c>
      <c r="E260" s="119"/>
      <c r="F260" s="119"/>
      <c r="G260" s="119"/>
      <c r="H260" s="119"/>
      <c r="I260" s="118"/>
      <c r="J260" s="118"/>
      <c r="K260" s="75">
        <v>0.38</v>
      </c>
      <c r="L260" s="79"/>
      <c r="M260" s="75">
        <f>K260*M254</f>
        <v>27.892000000000003</v>
      </c>
      <c r="N260" s="79"/>
      <c r="O260" s="79"/>
      <c r="P260" s="79"/>
      <c r="Q260" s="79"/>
      <c r="R260" s="80"/>
    </row>
    <row r="261" spans="1:18" ht="15.6" x14ac:dyDescent="0.3">
      <c r="A261" s="118"/>
      <c r="B261" s="118"/>
      <c r="C261" s="79"/>
      <c r="D261" s="119" t="s">
        <v>38</v>
      </c>
      <c r="E261" s="119"/>
      <c r="F261" s="119"/>
      <c r="G261" s="119"/>
      <c r="H261" s="119"/>
      <c r="I261" s="118"/>
      <c r="J261" s="118"/>
      <c r="K261" s="79"/>
      <c r="L261" s="79"/>
      <c r="M261" s="79"/>
      <c r="N261" s="79"/>
      <c r="O261" s="79"/>
      <c r="P261" s="75">
        <f>SUM(P255:P258)</f>
        <v>77014.216000000015</v>
      </c>
      <c r="Q261" s="79"/>
      <c r="R261" s="75">
        <f>SUM(R255:R258)</f>
        <v>1146078.5490780002</v>
      </c>
    </row>
    <row r="262" spans="1:18" ht="15.6" x14ac:dyDescent="0.3">
      <c r="A262" s="118"/>
      <c r="B262" s="118"/>
      <c r="C262" s="79"/>
      <c r="D262" s="119" t="s">
        <v>39</v>
      </c>
      <c r="E262" s="119"/>
      <c r="F262" s="119"/>
      <c r="G262" s="119"/>
      <c r="H262" s="119"/>
      <c r="I262" s="118"/>
      <c r="J262" s="118"/>
      <c r="K262" s="79"/>
      <c r="L262" s="79"/>
      <c r="M262" s="79"/>
      <c r="N262" s="79"/>
      <c r="O262" s="79"/>
      <c r="P262" s="75">
        <f>P255+P257</f>
        <v>4950.8300000000008</v>
      </c>
      <c r="Q262" s="79"/>
      <c r="R262" s="75">
        <f>R255+R257</f>
        <v>186928.48830999999</v>
      </c>
    </row>
    <row r="263" spans="1:18" ht="31.2" x14ac:dyDescent="0.3">
      <c r="A263" s="118"/>
      <c r="B263" s="118"/>
      <c r="C263" s="75" t="s">
        <v>40</v>
      </c>
      <c r="D263" s="119" t="s">
        <v>41</v>
      </c>
      <c r="E263" s="119"/>
      <c r="F263" s="119"/>
      <c r="G263" s="119"/>
      <c r="H263" s="119"/>
      <c r="I263" s="120" t="s">
        <v>42</v>
      </c>
      <c r="J263" s="120"/>
      <c r="K263" s="75">
        <v>110</v>
      </c>
      <c r="L263" s="79"/>
      <c r="M263" s="79"/>
      <c r="N263" s="79"/>
      <c r="O263" s="79"/>
      <c r="P263" s="75">
        <f>P262*K263/100</f>
        <v>5445.9130000000005</v>
      </c>
      <c r="Q263" s="79"/>
      <c r="R263" s="75">
        <f>R262*K263/100</f>
        <v>205621.337141</v>
      </c>
    </row>
    <row r="264" spans="1:18" ht="31.2" x14ac:dyDescent="0.3">
      <c r="A264" s="118"/>
      <c r="B264" s="118"/>
      <c r="C264" s="75" t="s">
        <v>43</v>
      </c>
      <c r="D264" s="119" t="s">
        <v>44</v>
      </c>
      <c r="E264" s="119"/>
      <c r="F264" s="119"/>
      <c r="G264" s="119"/>
      <c r="H264" s="119"/>
      <c r="I264" s="120" t="s">
        <v>42</v>
      </c>
      <c r="J264" s="120"/>
      <c r="K264" s="75">
        <v>69</v>
      </c>
      <c r="L264" s="79"/>
      <c r="M264" s="79"/>
      <c r="N264" s="79"/>
      <c r="O264" s="79"/>
      <c r="P264" s="75">
        <f>P262*K264/100</f>
        <v>3416.0727000000006</v>
      </c>
      <c r="Q264" s="79"/>
      <c r="R264" s="75">
        <f>R262*K264/100</f>
        <v>128980.65693389998</v>
      </c>
    </row>
    <row r="265" spans="1:18" ht="15.6" x14ac:dyDescent="0.3">
      <c r="A265" s="118"/>
      <c r="B265" s="118"/>
      <c r="C265" s="79"/>
      <c r="D265" s="119" t="s">
        <v>45</v>
      </c>
      <c r="E265" s="119"/>
      <c r="F265" s="119"/>
      <c r="G265" s="119"/>
      <c r="H265" s="119"/>
      <c r="I265" s="118"/>
      <c r="J265" s="118"/>
      <c r="K265" s="79"/>
      <c r="L265" s="79"/>
      <c r="M265" s="79"/>
      <c r="N265" s="79"/>
      <c r="O265" s="79"/>
      <c r="P265" s="75">
        <f>P264+P263+P261</f>
        <v>85876.20170000002</v>
      </c>
      <c r="Q265" s="79"/>
      <c r="R265" s="75">
        <f>R264+R263+R261</f>
        <v>1480680.5431529002</v>
      </c>
    </row>
    <row r="266" spans="1:18" ht="15.6" x14ac:dyDescent="0.3">
      <c r="A266" s="121" t="s">
        <v>516</v>
      </c>
      <c r="B266" s="121"/>
      <c r="C266" s="75" t="s">
        <v>98</v>
      </c>
      <c r="D266" s="120" t="s">
        <v>99</v>
      </c>
      <c r="E266" s="120"/>
      <c r="F266" s="120"/>
      <c r="G266" s="120"/>
      <c r="H266" s="120"/>
      <c r="I266" s="122" t="s">
        <v>50</v>
      </c>
      <c r="J266" s="122"/>
      <c r="K266" s="76">
        <v>29.29</v>
      </c>
      <c r="L266" s="77">
        <v>1</v>
      </c>
      <c r="M266" s="77">
        <f>K266</f>
        <v>29.29</v>
      </c>
      <c r="N266" s="78"/>
      <c r="O266" s="79"/>
      <c r="P266" s="79"/>
      <c r="Q266" s="79"/>
      <c r="R266" s="80"/>
    </row>
    <row r="267" spans="1:18" ht="15.6" x14ac:dyDescent="0.3">
      <c r="A267" s="118"/>
      <c r="B267" s="118"/>
      <c r="C267" s="81">
        <v>1</v>
      </c>
      <c r="D267" s="119" t="s">
        <v>32</v>
      </c>
      <c r="E267" s="119"/>
      <c r="F267" s="119"/>
      <c r="G267" s="119"/>
      <c r="H267" s="119"/>
      <c r="I267" s="118"/>
      <c r="J267" s="118"/>
      <c r="K267" s="79"/>
      <c r="L267" s="79"/>
      <c r="M267" s="79"/>
      <c r="N267" s="75">
        <v>43.3</v>
      </c>
      <c r="O267" s="79"/>
      <c r="P267" s="75">
        <f>M266*N267</f>
        <v>1268.2569999999998</v>
      </c>
      <c r="Q267" s="75">
        <v>37.756999999999998</v>
      </c>
      <c r="R267" s="75">
        <f>P267*Q267</f>
        <v>47885.579548999995</v>
      </c>
    </row>
    <row r="268" spans="1:18" ht="15.6" x14ac:dyDescent="0.3">
      <c r="A268" s="118"/>
      <c r="B268" s="118"/>
      <c r="C268" s="81">
        <v>3</v>
      </c>
      <c r="D268" s="119" t="s">
        <v>33</v>
      </c>
      <c r="E268" s="119"/>
      <c r="F268" s="119"/>
      <c r="G268" s="119"/>
      <c r="H268" s="119"/>
      <c r="I268" s="118"/>
      <c r="J268" s="118"/>
      <c r="K268" s="79"/>
      <c r="L268" s="79"/>
      <c r="M268" s="79"/>
      <c r="N268" s="75">
        <v>34.56</v>
      </c>
      <c r="O268" s="79"/>
      <c r="P268" s="75">
        <f>N268*M266</f>
        <v>1012.2624000000001</v>
      </c>
      <c r="Q268" s="82">
        <v>21.128</v>
      </c>
      <c r="R268" s="75">
        <f>P268*Q268</f>
        <v>21387.079987200003</v>
      </c>
    </row>
    <row r="269" spans="1:18" ht="15.6" x14ac:dyDescent="0.3">
      <c r="A269" s="118"/>
      <c r="B269" s="118"/>
      <c r="C269" s="81">
        <v>2</v>
      </c>
      <c r="D269" s="119" t="s">
        <v>34</v>
      </c>
      <c r="E269" s="119"/>
      <c r="F269" s="119"/>
      <c r="G269" s="119"/>
      <c r="H269" s="119"/>
      <c r="I269" s="118"/>
      <c r="J269" s="118"/>
      <c r="K269" s="79"/>
      <c r="L269" s="79"/>
      <c r="M269" s="79"/>
      <c r="N269" s="75">
        <v>5.4</v>
      </c>
      <c r="O269" s="79"/>
      <c r="P269" s="75">
        <f>N269*M266</f>
        <v>158.166</v>
      </c>
      <c r="Q269" s="75">
        <v>37.756999999999998</v>
      </c>
      <c r="R269" s="75">
        <f>P269*Q269</f>
        <v>5971.873662</v>
      </c>
    </row>
    <row r="270" spans="1:18" ht="36" customHeight="1" x14ac:dyDescent="0.3">
      <c r="A270" s="118"/>
      <c r="B270" s="118"/>
      <c r="C270" s="81">
        <v>4</v>
      </c>
      <c r="D270" s="119" t="s">
        <v>35</v>
      </c>
      <c r="E270" s="119"/>
      <c r="F270" s="119"/>
      <c r="G270" s="119"/>
      <c r="H270" s="119"/>
      <c r="I270" s="118"/>
      <c r="J270" s="118"/>
      <c r="K270" s="79"/>
      <c r="L270" s="79"/>
      <c r="M270" s="79"/>
      <c r="N270" s="75">
        <v>815.51</v>
      </c>
      <c r="O270" s="79"/>
      <c r="P270" s="75">
        <f>N270*M266</f>
        <v>23886.287899999999</v>
      </c>
      <c r="Q270" s="75">
        <v>13.002000000000001</v>
      </c>
      <c r="R270" s="75">
        <f>P270*Q270</f>
        <v>310569.51527580002</v>
      </c>
    </row>
    <row r="271" spans="1:18" ht="15.6" x14ac:dyDescent="0.3">
      <c r="A271" s="118"/>
      <c r="B271" s="118"/>
      <c r="C271" s="79"/>
      <c r="D271" s="119" t="s">
        <v>36</v>
      </c>
      <c r="E271" s="119"/>
      <c r="F271" s="119"/>
      <c r="G271" s="119"/>
      <c r="H271" s="119"/>
      <c r="I271" s="118"/>
      <c r="J271" s="118"/>
      <c r="K271" s="75">
        <v>5.21</v>
      </c>
      <c r="L271" s="79"/>
      <c r="M271" s="75">
        <f>K271*M266</f>
        <v>152.6009</v>
      </c>
      <c r="N271" s="79"/>
      <c r="O271" s="79"/>
      <c r="P271" s="79"/>
      <c r="Q271" s="79"/>
      <c r="R271" s="80"/>
    </row>
    <row r="272" spans="1:18" ht="15.6" x14ac:dyDescent="0.3">
      <c r="A272" s="118"/>
      <c r="B272" s="118"/>
      <c r="C272" s="79"/>
      <c r="D272" s="119" t="s">
        <v>37</v>
      </c>
      <c r="E272" s="119"/>
      <c r="F272" s="119"/>
      <c r="G272" s="119"/>
      <c r="H272" s="119"/>
      <c r="I272" s="118"/>
      <c r="J272" s="118"/>
      <c r="K272" s="75">
        <v>0.4</v>
      </c>
      <c r="L272" s="79"/>
      <c r="M272" s="75">
        <f>K272*M266</f>
        <v>11.716000000000001</v>
      </c>
      <c r="N272" s="79"/>
      <c r="O272" s="79"/>
      <c r="P272" s="79"/>
      <c r="Q272" s="79"/>
      <c r="R272" s="80"/>
    </row>
    <row r="273" spans="1:18" ht="15.6" x14ac:dyDescent="0.3">
      <c r="A273" s="118"/>
      <c r="B273" s="118"/>
      <c r="C273" s="79"/>
      <c r="D273" s="119" t="s">
        <v>38</v>
      </c>
      <c r="E273" s="119"/>
      <c r="F273" s="119"/>
      <c r="G273" s="119"/>
      <c r="H273" s="119"/>
      <c r="I273" s="118"/>
      <c r="J273" s="118"/>
      <c r="K273" s="79"/>
      <c r="L273" s="79"/>
      <c r="M273" s="79"/>
      <c r="N273" s="79"/>
      <c r="O273" s="79"/>
      <c r="P273" s="75">
        <f>SUM(P267:P270)</f>
        <v>26324.973299999998</v>
      </c>
      <c r="Q273" s="79"/>
      <c r="R273" s="75">
        <f>SUM(R267:R270)</f>
        <v>385814.04847400001</v>
      </c>
    </row>
    <row r="274" spans="1:18" ht="15.6" x14ac:dyDescent="0.3">
      <c r="A274" s="118"/>
      <c r="B274" s="118"/>
      <c r="C274" s="79"/>
      <c r="D274" s="119" t="s">
        <v>39</v>
      </c>
      <c r="E274" s="119"/>
      <c r="F274" s="119"/>
      <c r="G274" s="119"/>
      <c r="H274" s="119"/>
      <c r="I274" s="118"/>
      <c r="J274" s="118"/>
      <c r="K274" s="79"/>
      <c r="L274" s="79"/>
      <c r="M274" s="79"/>
      <c r="N274" s="79"/>
      <c r="O274" s="79"/>
      <c r="P274" s="75">
        <f>P267+P269</f>
        <v>1426.4229999999998</v>
      </c>
      <c r="Q274" s="79"/>
      <c r="R274" s="75">
        <f>R267+R269</f>
        <v>53857.453210999993</v>
      </c>
    </row>
    <row r="275" spans="1:18" ht="31.2" x14ac:dyDescent="0.3">
      <c r="A275" s="118"/>
      <c r="B275" s="118"/>
      <c r="C275" s="75" t="s">
        <v>40</v>
      </c>
      <c r="D275" s="119" t="s">
        <v>41</v>
      </c>
      <c r="E275" s="119"/>
      <c r="F275" s="119"/>
      <c r="G275" s="119"/>
      <c r="H275" s="119"/>
      <c r="I275" s="120" t="s">
        <v>42</v>
      </c>
      <c r="J275" s="120"/>
      <c r="K275" s="75">
        <v>110</v>
      </c>
      <c r="L275" s="79"/>
      <c r="M275" s="79"/>
      <c r="N275" s="79"/>
      <c r="O275" s="79"/>
      <c r="P275" s="75">
        <f>P274*K275/100</f>
        <v>1569.0652999999998</v>
      </c>
      <c r="Q275" s="79"/>
      <c r="R275" s="75">
        <f>R274*K275/100</f>
        <v>59243.198532099996</v>
      </c>
    </row>
    <row r="276" spans="1:18" ht="31.2" x14ac:dyDescent="0.3">
      <c r="A276" s="118"/>
      <c r="B276" s="118"/>
      <c r="C276" s="75" t="s">
        <v>43</v>
      </c>
      <c r="D276" s="119" t="s">
        <v>44</v>
      </c>
      <c r="E276" s="119"/>
      <c r="F276" s="119"/>
      <c r="G276" s="119"/>
      <c r="H276" s="119"/>
      <c r="I276" s="120" t="s">
        <v>42</v>
      </c>
      <c r="J276" s="120"/>
      <c r="K276" s="75">
        <v>69</v>
      </c>
      <c r="L276" s="79"/>
      <c r="M276" s="79"/>
      <c r="N276" s="79"/>
      <c r="O276" s="79"/>
      <c r="P276" s="75">
        <f>P274*K276/100</f>
        <v>984.23186999999996</v>
      </c>
      <c r="Q276" s="79"/>
      <c r="R276" s="75">
        <f>R274*K276/100</f>
        <v>37161.642715589995</v>
      </c>
    </row>
    <row r="277" spans="1:18" ht="15.6" x14ac:dyDescent="0.3">
      <c r="A277" s="118"/>
      <c r="B277" s="118"/>
      <c r="C277" s="79"/>
      <c r="D277" s="119" t="s">
        <v>45</v>
      </c>
      <c r="E277" s="119"/>
      <c r="F277" s="119"/>
      <c r="G277" s="119"/>
      <c r="H277" s="119"/>
      <c r="I277" s="118"/>
      <c r="J277" s="118"/>
      <c r="K277" s="79"/>
      <c r="L277" s="79"/>
      <c r="M277" s="79"/>
      <c r="N277" s="79"/>
      <c r="O277" s="79"/>
      <c r="P277" s="75">
        <f>P276+P275+P273</f>
        <v>28878.270469999996</v>
      </c>
      <c r="Q277" s="79"/>
      <c r="R277" s="75">
        <f>R276+R275+R273</f>
        <v>482218.88972168998</v>
      </c>
    </row>
    <row r="278" spans="1:18" ht="15.6" x14ac:dyDescent="0.3">
      <c r="A278" s="121" t="s">
        <v>94</v>
      </c>
      <c r="B278" s="121"/>
      <c r="C278" s="75" t="s">
        <v>101</v>
      </c>
      <c r="D278" s="120" t="s">
        <v>100</v>
      </c>
      <c r="E278" s="120"/>
      <c r="F278" s="120"/>
      <c r="G278" s="120"/>
      <c r="H278" s="120"/>
      <c r="I278" s="122" t="s">
        <v>52</v>
      </c>
      <c r="J278" s="122"/>
      <c r="K278" s="76">
        <v>0.72</v>
      </c>
      <c r="L278" s="77">
        <v>1</v>
      </c>
      <c r="M278" s="77">
        <f>K278</f>
        <v>0.72</v>
      </c>
      <c r="N278" s="78"/>
      <c r="O278" s="79"/>
      <c r="P278" s="79"/>
      <c r="Q278" s="79"/>
      <c r="R278" s="80"/>
    </row>
    <row r="279" spans="1:18" ht="15.6" x14ac:dyDescent="0.3">
      <c r="A279" s="118"/>
      <c r="B279" s="118"/>
      <c r="C279" s="81">
        <v>1</v>
      </c>
      <c r="D279" s="119" t="s">
        <v>32</v>
      </c>
      <c r="E279" s="119"/>
      <c r="F279" s="119"/>
      <c r="G279" s="119"/>
      <c r="H279" s="119"/>
      <c r="I279" s="118"/>
      <c r="J279" s="118"/>
      <c r="K279" s="79"/>
      <c r="L279" s="79"/>
      <c r="M279" s="79"/>
      <c r="N279" s="75">
        <v>153.91</v>
      </c>
      <c r="O279" s="79"/>
      <c r="P279" s="75">
        <f>M278*N279</f>
        <v>110.81519999999999</v>
      </c>
      <c r="Q279" s="75">
        <v>37.756999999999998</v>
      </c>
      <c r="R279" s="75">
        <f>P279*Q279</f>
        <v>4184.0495063999997</v>
      </c>
    </row>
    <row r="280" spans="1:18" ht="15.6" x14ac:dyDescent="0.3">
      <c r="A280" s="118"/>
      <c r="B280" s="118"/>
      <c r="C280" s="81">
        <v>3</v>
      </c>
      <c r="D280" s="119" t="s">
        <v>33</v>
      </c>
      <c r="E280" s="119"/>
      <c r="F280" s="119"/>
      <c r="G280" s="119"/>
      <c r="H280" s="119"/>
      <c r="I280" s="118"/>
      <c r="J280" s="118"/>
      <c r="K280" s="79"/>
      <c r="L280" s="79"/>
      <c r="M280" s="79"/>
      <c r="N280" s="75">
        <v>784.51</v>
      </c>
      <c r="O280" s="79"/>
      <c r="P280" s="75">
        <f>N280*M278</f>
        <v>564.84719999999993</v>
      </c>
      <c r="Q280" s="82">
        <v>21.128</v>
      </c>
      <c r="R280" s="75">
        <f>P280*Q280</f>
        <v>11934.091641599998</v>
      </c>
    </row>
    <row r="281" spans="1:18" ht="15.6" x14ac:dyDescent="0.3">
      <c r="A281" s="118"/>
      <c r="B281" s="118"/>
      <c r="C281" s="81">
        <v>2</v>
      </c>
      <c r="D281" s="119" t="s">
        <v>34</v>
      </c>
      <c r="E281" s="119"/>
      <c r="F281" s="119"/>
      <c r="G281" s="119"/>
      <c r="H281" s="119"/>
      <c r="I281" s="118"/>
      <c r="J281" s="118"/>
      <c r="K281" s="79"/>
      <c r="L281" s="79"/>
      <c r="M281" s="79"/>
      <c r="N281" s="75">
        <v>122.58</v>
      </c>
      <c r="O281" s="79"/>
      <c r="P281" s="75">
        <f>N281*M278</f>
        <v>88.257599999999996</v>
      </c>
      <c r="Q281" s="75">
        <v>37.756999999999998</v>
      </c>
      <c r="R281" s="75">
        <f>P281*Q281</f>
        <v>3332.3422031999999</v>
      </c>
    </row>
    <row r="282" spans="1:18" ht="15.6" x14ac:dyDescent="0.3">
      <c r="A282" s="118"/>
      <c r="B282" s="118"/>
      <c r="C282" s="81">
        <v>4</v>
      </c>
      <c r="D282" s="119" t="s">
        <v>35</v>
      </c>
      <c r="E282" s="119"/>
      <c r="F282" s="119"/>
      <c r="G282" s="119"/>
      <c r="H282" s="119"/>
      <c r="I282" s="118"/>
      <c r="J282" s="118"/>
      <c r="K282" s="79"/>
      <c r="L282" s="79"/>
      <c r="M282" s="79"/>
      <c r="N282" s="75">
        <v>129.94999999999999</v>
      </c>
      <c r="O282" s="79"/>
      <c r="P282" s="75">
        <f>N282*M278</f>
        <v>93.563999999999993</v>
      </c>
      <c r="Q282" s="75">
        <v>13.002000000000001</v>
      </c>
      <c r="R282" s="75">
        <f>P282*Q282</f>
        <v>1216.5191279999999</v>
      </c>
    </row>
    <row r="283" spans="1:18" ht="15.6" x14ac:dyDescent="0.3">
      <c r="A283" s="118"/>
      <c r="B283" s="118"/>
      <c r="C283" s="79"/>
      <c r="D283" s="119" t="s">
        <v>36</v>
      </c>
      <c r="E283" s="119"/>
      <c r="F283" s="119"/>
      <c r="G283" s="119"/>
      <c r="H283" s="119"/>
      <c r="I283" s="118"/>
      <c r="J283" s="118"/>
      <c r="K283" s="75">
        <v>17.61</v>
      </c>
      <c r="L283" s="79"/>
      <c r="M283" s="75">
        <f>K283*M278</f>
        <v>12.6792</v>
      </c>
      <c r="N283" s="79"/>
      <c r="O283" s="79"/>
      <c r="P283" s="79"/>
      <c r="Q283" s="79"/>
      <c r="R283" s="80"/>
    </row>
    <row r="284" spans="1:18" ht="15.6" x14ac:dyDescent="0.3">
      <c r="A284" s="118"/>
      <c r="B284" s="118"/>
      <c r="C284" s="79"/>
      <c r="D284" s="119" t="s">
        <v>37</v>
      </c>
      <c r="E284" s="119"/>
      <c r="F284" s="119"/>
      <c r="G284" s="119"/>
      <c r="H284" s="119"/>
      <c r="I284" s="118"/>
      <c r="J284" s="118"/>
      <c r="K284" s="75">
        <v>9.08</v>
      </c>
      <c r="L284" s="79"/>
      <c r="M284" s="75">
        <f>K284*M278</f>
        <v>6.5375999999999994</v>
      </c>
      <c r="N284" s="79"/>
      <c r="O284" s="79"/>
      <c r="P284" s="79"/>
      <c r="Q284" s="79"/>
      <c r="R284" s="80"/>
    </row>
    <row r="285" spans="1:18" ht="15.6" x14ac:dyDescent="0.3">
      <c r="A285" s="118"/>
      <c r="B285" s="118"/>
      <c r="C285" s="79"/>
      <c r="D285" s="119" t="s">
        <v>38</v>
      </c>
      <c r="E285" s="119"/>
      <c r="F285" s="119"/>
      <c r="G285" s="119"/>
      <c r="H285" s="119"/>
      <c r="I285" s="118"/>
      <c r="J285" s="118"/>
      <c r="K285" s="79"/>
      <c r="L285" s="79"/>
      <c r="M285" s="79"/>
      <c r="N285" s="79"/>
      <c r="O285" s="79"/>
      <c r="P285" s="75">
        <f>SUM(P279:P282)</f>
        <v>857.48399999999992</v>
      </c>
      <c r="Q285" s="79"/>
      <c r="R285" s="75">
        <f>SUM(R279:R282)</f>
        <v>20667.002479199997</v>
      </c>
    </row>
    <row r="286" spans="1:18" ht="15.6" x14ac:dyDescent="0.3">
      <c r="A286" s="118"/>
      <c r="B286" s="118"/>
      <c r="C286" s="79"/>
      <c r="D286" s="119" t="s">
        <v>39</v>
      </c>
      <c r="E286" s="119"/>
      <c r="F286" s="119"/>
      <c r="G286" s="119"/>
      <c r="H286" s="119"/>
      <c r="I286" s="118"/>
      <c r="J286" s="118"/>
      <c r="K286" s="79"/>
      <c r="L286" s="79"/>
      <c r="M286" s="79"/>
      <c r="N286" s="79"/>
      <c r="O286" s="79"/>
      <c r="P286" s="75">
        <f>P279+P281</f>
        <v>199.07279999999997</v>
      </c>
      <c r="Q286" s="79"/>
      <c r="R286" s="75">
        <f>R279+R281</f>
        <v>7516.3917095999996</v>
      </c>
    </row>
    <row r="287" spans="1:18" ht="31.2" x14ac:dyDescent="0.3">
      <c r="A287" s="118"/>
      <c r="B287" s="118"/>
      <c r="C287" s="75" t="s">
        <v>40</v>
      </c>
      <c r="D287" s="119" t="s">
        <v>41</v>
      </c>
      <c r="E287" s="119"/>
      <c r="F287" s="119"/>
      <c r="G287" s="119"/>
      <c r="H287" s="119"/>
      <c r="I287" s="120" t="s">
        <v>42</v>
      </c>
      <c r="J287" s="120"/>
      <c r="K287" s="75">
        <v>116</v>
      </c>
      <c r="L287" s="79"/>
      <c r="M287" s="79"/>
      <c r="N287" s="79"/>
      <c r="O287" s="79"/>
      <c r="P287" s="75">
        <f>P286*K287/100</f>
        <v>230.92444799999998</v>
      </c>
      <c r="Q287" s="79"/>
      <c r="R287" s="75">
        <f>R286*K287/100</f>
        <v>8719.0143831359983</v>
      </c>
    </row>
    <row r="288" spans="1:18" ht="31.2" x14ac:dyDescent="0.3">
      <c r="A288" s="118"/>
      <c r="B288" s="118"/>
      <c r="C288" s="75" t="s">
        <v>43</v>
      </c>
      <c r="D288" s="119" t="s">
        <v>44</v>
      </c>
      <c r="E288" s="119"/>
      <c r="F288" s="119"/>
      <c r="G288" s="119"/>
      <c r="H288" s="119"/>
      <c r="I288" s="120" t="s">
        <v>42</v>
      </c>
      <c r="J288" s="120"/>
      <c r="K288" s="75">
        <v>80</v>
      </c>
      <c r="L288" s="79"/>
      <c r="M288" s="79"/>
      <c r="N288" s="79"/>
      <c r="O288" s="79"/>
      <c r="P288" s="75">
        <f>P286*K288/100</f>
        <v>159.25823999999997</v>
      </c>
      <c r="Q288" s="79"/>
      <c r="R288" s="75">
        <f>R286*K288/100</f>
        <v>6013.1133676799991</v>
      </c>
    </row>
    <row r="289" spans="1:18" ht="15.6" x14ac:dyDescent="0.3">
      <c r="A289" s="124"/>
      <c r="B289" s="124"/>
      <c r="C289" s="86" t="s">
        <v>492</v>
      </c>
      <c r="D289" s="126" t="s">
        <v>493</v>
      </c>
      <c r="E289" s="126"/>
      <c r="F289" s="126"/>
      <c r="G289" s="126"/>
      <c r="H289" s="126"/>
      <c r="I289" s="124" t="s">
        <v>53</v>
      </c>
      <c r="J289" s="124"/>
      <c r="K289" s="84">
        <f>10*0.008</f>
        <v>0.08</v>
      </c>
      <c r="L289" s="84"/>
      <c r="M289" s="84"/>
      <c r="N289" s="84">
        <v>2399.94</v>
      </c>
      <c r="O289" s="84"/>
      <c r="P289" s="84">
        <f>K289*N289</f>
        <v>191.99520000000001</v>
      </c>
      <c r="Q289" s="84">
        <v>13.002000000000001</v>
      </c>
      <c r="R289" s="84">
        <f>P289*Q289</f>
        <v>2496.3215904000003</v>
      </c>
    </row>
    <row r="290" spans="1:18" ht="15.6" x14ac:dyDescent="0.3">
      <c r="A290" s="124"/>
      <c r="B290" s="124"/>
      <c r="C290" s="86" t="s">
        <v>492</v>
      </c>
      <c r="D290" s="126" t="s">
        <v>494</v>
      </c>
      <c r="E290" s="126"/>
      <c r="F290" s="126"/>
      <c r="G290" s="126"/>
      <c r="H290" s="126"/>
      <c r="I290" s="124" t="s">
        <v>53</v>
      </c>
      <c r="J290" s="124"/>
      <c r="K290" s="84">
        <f>9*0.034</f>
        <v>0.30600000000000005</v>
      </c>
      <c r="L290" s="84"/>
      <c r="M290" s="84"/>
      <c r="N290" s="84">
        <v>2399.94</v>
      </c>
      <c r="O290" s="84"/>
      <c r="P290" s="84">
        <f>K290*N290</f>
        <v>734.38164000000017</v>
      </c>
      <c r="Q290" s="84">
        <v>13.002000000000001</v>
      </c>
      <c r="R290" s="84">
        <f>P290*Q290</f>
        <v>9548.4300832800036</v>
      </c>
    </row>
    <row r="291" spans="1:18" ht="15.6" x14ac:dyDescent="0.3">
      <c r="A291" s="124"/>
      <c r="B291" s="124"/>
      <c r="C291" s="86" t="s">
        <v>492</v>
      </c>
      <c r="D291" s="126" t="s">
        <v>495</v>
      </c>
      <c r="E291" s="126"/>
      <c r="F291" s="126"/>
      <c r="G291" s="126"/>
      <c r="H291" s="126"/>
      <c r="I291" s="124" t="s">
        <v>53</v>
      </c>
      <c r="J291" s="124"/>
      <c r="K291" s="84">
        <f>1*0.017</f>
        <v>1.7000000000000001E-2</v>
      </c>
      <c r="L291" s="84"/>
      <c r="M291" s="84"/>
      <c r="N291" s="84">
        <v>2399.94</v>
      </c>
      <c r="O291" s="84"/>
      <c r="P291" s="84">
        <f>K291*N291</f>
        <v>40.798980000000007</v>
      </c>
      <c r="Q291" s="84">
        <v>13.002000000000001</v>
      </c>
      <c r="R291" s="84">
        <f>P291*Q291</f>
        <v>530.4683379600001</v>
      </c>
    </row>
    <row r="292" spans="1:18" ht="15.6" x14ac:dyDescent="0.3">
      <c r="A292" s="124"/>
      <c r="B292" s="124"/>
      <c r="C292" s="86" t="s">
        <v>492</v>
      </c>
      <c r="D292" s="126" t="s">
        <v>496</v>
      </c>
      <c r="E292" s="126"/>
      <c r="F292" s="126"/>
      <c r="G292" s="126"/>
      <c r="H292" s="126"/>
      <c r="I292" s="124" t="s">
        <v>53</v>
      </c>
      <c r="J292" s="124"/>
      <c r="K292" s="84">
        <f>12*0.044</f>
        <v>0.52800000000000002</v>
      </c>
      <c r="L292" s="84"/>
      <c r="M292" s="84"/>
      <c r="N292" s="84">
        <v>2399.94</v>
      </c>
      <c r="O292" s="84"/>
      <c r="P292" s="84">
        <f>K292*N292</f>
        <v>1267.16832</v>
      </c>
      <c r="Q292" s="84">
        <v>13.002000000000001</v>
      </c>
      <c r="R292" s="84">
        <f>P292*Q292</f>
        <v>16475.722496639999</v>
      </c>
    </row>
    <row r="293" spans="1:18" ht="15.6" x14ac:dyDescent="0.3">
      <c r="A293" s="124"/>
      <c r="B293" s="124"/>
      <c r="C293" s="86" t="s">
        <v>492</v>
      </c>
      <c r="D293" s="126" t="s">
        <v>497</v>
      </c>
      <c r="E293" s="126"/>
      <c r="F293" s="126"/>
      <c r="G293" s="126"/>
      <c r="H293" s="126"/>
      <c r="I293" s="124" t="s">
        <v>53</v>
      </c>
      <c r="J293" s="124"/>
      <c r="K293" s="84">
        <f>1*0.017</f>
        <v>1.7000000000000001E-2</v>
      </c>
      <c r="L293" s="84"/>
      <c r="M293" s="84"/>
      <c r="N293" s="84">
        <v>2399.94</v>
      </c>
      <c r="O293" s="84"/>
      <c r="P293" s="84">
        <f>K293*N293</f>
        <v>40.798980000000007</v>
      </c>
      <c r="Q293" s="84">
        <v>13.002000000000001</v>
      </c>
      <c r="R293" s="84">
        <f>P293*Q293</f>
        <v>530.4683379600001</v>
      </c>
    </row>
    <row r="294" spans="1:18" ht="15.6" x14ac:dyDescent="0.3">
      <c r="A294" s="118"/>
      <c r="B294" s="118"/>
      <c r="C294" s="77"/>
      <c r="D294" s="119" t="s">
        <v>45</v>
      </c>
      <c r="E294" s="119"/>
      <c r="F294" s="119"/>
      <c r="G294" s="119"/>
      <c r="H294" s="119"/>
      <c r="I294" s="118"/>
      <c r="J294" s="118"/>
      <c r="K294" s="79"/>
      <c r="L294" s="79"/>
      <c r="M294" s="79"/>
      <c r="N294" s="79"/>
      <c r="O294" s="79"/>
      <c r="P294" s="75">
        <f>P288+P287+P285+P289+P290+P291+P292+P293</f>
        <v>3522.8098080000004</v>
      </c>
      <c r="Q294" s="79"/>
      <c r="R294" s="75">
        <f>R288+R287+R285+R289+R290+R291+R292+R293</f>
        <v>64980.541076256006</v>
      </c>
    </row>
    <row r="295" spans="1:18" ht="15.6" x14ac:dyDescent="0.3">
      <c r="A295" s="121" t="s">
        <v>97</v>
      </c>
      <c r="B295" s="121"/>
      <c r="C295" s="75" t="s">
        <v>499</v>
      </c>
      <c r="D295" s="120" t="s">
        <v>102</v>
      </c>
      <c r="E295" s="120"/>
      <c r="F295" s="120"/>
      <c r="G295" s="120"/>
      <c r="H295" s="120"/>
      <c r="I295" s="122" t="s">
        <v>52</v>
      </c>
      <c r="J295" s="122"/>
      <c r="K295" s="76">
        <v>0.08</v>
      </c>
      <c r="L295" s="77">
        <v>1</v>
      </c>
      <c r="M295" s="77">
        <f>K295</f>
        <v>0.08</v>
      </c>
      <c r="N295" s="78"/>
      <c r="O295" s="79"/>
      <c r="P295" s="79"/>
      <c r="Q295" s="79"/>
      <c r="R295" s="80"/>
    </row>
    <row r="296" spans="1:18" ht="15.6" x14ac:dyDescent="0.3">
      <c r="A296" s="118"/>
      <c r="B296" s="118"/>
      <c r="C296" s="81" t="s">
        <v>498</v>
      </c>
      <c r="D296" s="119" t="s">
        <v>32</v>
      </c>
      <c r="E296" s="119"/>
      <c r="F296" s="119"/>
      <c r="G296" s="119"/>
      <c r="H296" s="119"/>
      <c r="I296" s="118"/>
      <c r="J296" s="118"/>
      <c r="K296" s="79"/>
      <c r="L296" s="79"/>
      <c r="M296" s="79"/>
      <c r="N296" s="75">
        <v>2064.67</v>
      </c>
      <c r="O296" s="79"/>
      <c r="P296" s="75">
        <f>M295*N296</f>
        <v>165.17360000000002</v>
      </c>
      <c r="Q296" s="75">
        <v>37.756999999999998</v>
      </c>
      <c r="R296" s="75">
        <f>P296*Q296</f>
        <v>6236.4596152000004</v>
      </c>
    </row>
    <row r="297" spans="1:18" ht="15.6" x14ac:dyDescent="0.3">
      <c r="A297" s="118"/>
      <c r="B297" s="118"/>
      <c r="C297" s="81">
        <v>3</v>
      </c>
      <c r="D297" s="119" t="s">
        <v>33</v>
      </c>
      <c r="E297" s="119"/>
      <c r="F297" s="119"/>
      <c r="G297" s="119"/>
      <c r="H297" s="119"/>
      <c r="I297" s="118"/>
      <c r="J297" s="118"/>
      <c r="K297" s="79"/>
      <c r="L297" s="79"/>
      <c r="M297" s="79"/>
      <c r="N297" s="75">
        <v>2415.87</v>
      </c>
      <c r="O297" s="79"/>
      <c r="P297" s="75">
        <f>N297*M295</f>
        <v>193.2696</v>
      </c>
      <c r="Q297" s="82">
        <v>21.128</v>
      </c>
      <c r="R297" s="75">
        <f>P297*Q297</f>
        <v>4083.4001088</v>
      </c>
    </row>
    <row r="298" spans="1:18" ht="15.6" x14ac:dyDescent="0.3">
      <c r="A298" s="118"/>
      <c r="B298" s="118"/>
      <c r="C298" s="81">
        <v>2</v>
      </c>
      <c r="D298" s="119" t="s">
        <v>34</v>
      </c>
      <c r="E298" s="119"/>
      <c r="F298" s="119"/>
      <c r="G298" s="119"/>
      <c r="H298" s="119"/>
      <c r="I298" s="118"/>
      <c r="J298" s="118"/>
      <c r="K298" s="79"/>
      <c r="L298" s="79"/>
      <c r="M298" s="79"/>
      <c r="N298" s="75">
        <v>352.49</v>
      </c>
      <c r="O298" s="79"/>
      <c r="P298" s="75">
        <f>N298*M295</f>
        <v>28.199200000000001</v>
      </c>
      <c r="Q298" s="75">
        <v>37.756999999999998</v>
      </c>
      <c r="R298" s="75">
        <f>P298*Q298</f>
        <v>1064.7171943999999</v>
      </c>
    </row>
    <row r="299" spans="1:18" ht="15.6" x14ac:dyDescent="0.3">
      <c r="A299" s="118"/>
      <c r="B299" s="118"/>
      <c r="C299" s="81">
        <v>4</v>
      </c>
      <c r="D299" s="119" t="s">
        <v>35</v>
      </c>
      <c r="E299" s="119"/>
      <c r="F299" s="119"/>
      <c r="G299" s="119"/>
      <c r="H299" s="119"/>
      <c r="I299" s="118"/>
      <c r="J299" s="118"/>
      <c r="K299" s="79"/>
      <c r="L299" s="79"/>
      <c r="M299" s="79"/>
      <c r="N299" s="75">
        <v>1631.23</v>
      </c>
      <c r="O299" s="79"/>
      <c r="P299" s="75">
        <f>N299*M295</f>
        <v>130.4984</v>
      </c>
      <c r="Q299" s="75">
        <v>13.002000000000001</v>
      </c>
      <c r="R299" s="75">
        <f>P299*Q299</f>
        <v>1696.7401968000001</v>
      </c>
    </row>
    <row r="300" spans="1:18" ht="15.6" x14ac:dyDescent="0.3">
      <c r="A300" s="118"/>
      <c r="B300" s="118"/>
      <c r="C300" s="79"/>
      <c r="D300" s="119" t="s">
        <v>36</v>
      </c>
      <c r="E300" s="119"/>
      <c r="F300" s="119"/>
      <c r="G300" s="119"/>
      <c r="H300" s="119"/>
      <c r="I300" s="118"/>
      <c r="J300" s="118"/>
      <c r="K300" s="75">
        <v>224.91</v>
      </c>
      <c r="L300" s="79"/>
      <c r="M300" s="75">
        <f>K300*M295</f>
        <v>17.992799999999999</v>
      </c>
      <c r="N300" s="79"/>
      <c r="O300" s="79"/>
      <c r="P300" s="79"/>
      <c r="Q300" s="79"/>
      <c r="R300" s="80"/>
    </row>
    <row r="301" spans="1:18" ht="15.6" x14ac:dyDescent="0.3">
      <c r="A301" s="118"/>
      <c r="B301" s="118"/>
      <c r="C301" s="79"/>
      <c r="D301" s="119" t="s">
        <v>37</v>
      </c>
      <c r="E301" s="119"/>
      <c r="F301" s="119"/>
      <c r="G301" s="119"/>
      <c r="H301" s="119"/>
      <c r="I301" s="118"/>
      <c r="J301" s="118"/>
      <c r="K301" s="75">
        <v>26.11</v>
      </c>
      <c r="L301" s="79"/>
      <c r="M301" s="75">
        <f>K301*M295</f>
        <v>2.0888</v>
      </c>
      <c r="N301" s="79"/>
      <c r="O301" s="79"/>
      <c r="P301" s="79"/>
      <c r="Q301" s="79"/>
      <c r="R301" s="80"/>
    </row>
    <row r="302" spans="1:18" ht="15.6" x14ac:dyDescent="0.3">
      <c r="A302" s="118"/>
      <c r="B302" s="118"/>
      <c r="C302" s="79"/>
      <c r="D302" s="119" t="s">
        <v>38</v>
      </c>
      <c r="E302" s="119"/>
      <c r="F302" s="119"/>
      <c r="G302" s="119"/>
      <c r="H302" s="119"/>
      <c r="I302" s="118"/>
      <c r="J302" s="118"/>
      <c r="K302" s="79"/>
      <c r="L302" s="79"/>
      <c r="M302" s="79"/>
      <c r="N302" s="79"/>
      <c r="O302" s="79"/>
      <c r="P302" s="75">
        <f>SUM(P296:P299)</f>
        <v>517.14080000000013</v>
      </c>
      <c r="Q302" s="79"/>
      <c r="R302" s="75">
        <f>SUM(R296:R299)</f>
        <v>13081.3171152</v>
      </c>
    </row>
    <row r="303" spans="1:18" ht="15.6" x14ac:dyDescent="0.3">
      <c r="A303" s="118"/>
      <c r="B303" s="118"/>
      <c r="C303" s="79"/>
      <c r="D303" s="119" t="s">
        <v>39</v>
      </c>
      <c r="E303" s="119"/>
      <c r="F303" s="119"/>
      <c r="G303" s="119"/>
      <c r="H303" s="119"/>
      <c r="I303" s="118"/>
      <c r="J303" s="118"/>
      <c r="K303" s="79"/>
      <c r="L303" s="79"/>
      <c r="M303" s="79"/>
      <c r="N303" s="79"/>
      <c r="O303" s="79"/>
      <c r="P303" s="75">
        <f>P296+P298</f>
        <v>193.37280000000001</v>
      </c>
      <c r="Q303" s="79"/>
      <c r="R303" s="75">
        <f>R296+R298</f>
        <v>7301.1768096000005</v>
      </c>
    </row>
    <row r="304" spans="1:18" ht="31.2" x14ac:dyDescent="0.3">
      <c r="A304" s="118"/>
      <c r="B304" s="118"/>
      <c r="C304" s="75" t="s">
        <v>40</v>
      </c>
      <c r="D304" s="119" t="s">
        <v>41</v>
      </c>
      <c r="E304" s="119"/>
      <c r="F304" s="119"/>
      <c r="G304" s="119"/>
      <c r="H304" s="119"/>
      <c r="I304" s="120" t="s">
        <v>42</v>
      </c>
      <c r="J304" s="120"/>
      <c r="K304" s="75">
        <v>116</v>
      </c>
      <c r="L304" s="79"/>
      <c r="M304" s="79"/>
      <c r="N304" s="79"/>
      <c r="O304" s="79"/>
      <c r="P304" s="75">
        <f>P303*K304/100</f>
        <v>224.31244800000002</v>
      </c>
      <c r="Q304" s="79"/>
      <c r="R304" s="75">
        <f>R303*K304/100</f>
        <v>8469.3650991360009</v>
      </c>
    </row>
    <row r="305" spans="1:18" ht="31.2" x14ac:dyDescent="0.3">
      <c r="A305" s="118"/>
      <c r="B305" s="118"/>
      <c r="C305" s="75" t="s">
        <v>43</v>
      </c>
      <c r="D305" s="119" t="s">
        <v>44</v>
      </c>
      <c r="E305" s="119"/>
      <c r="F305" s="119"/>
      <c r="G305" s="119"/>
      <c r="H305" s="119"/>
      <c r="I305" s="120" t="s">
        <v>42</v>
      </c>
      <c r="J305" s="120"/>
      <c r="K305" s="75">
        <v>80</v>
      </c>
      <c r="L305" s="79"/>
      <c r="M305" s="79"/>
      <c r="N305" s="79"/>
      <c r="O305" s="79"/>
      <c r="P305" s="75">
        <f>P303*K305/100</f>
        <v>154.69824</v>
      </c>
      <c r="Q305" s="79"/>
      <c r="R305" s="75">
        <f>R303*K305/100</f>
        <v>5840.9414476800002</v>
      </c>
    </row>
    <row r="306" spans="1:18" ht="15.6" x14ac:dyDescent="0.3">
      <c r="A306" s="124"/>
      <c r="B306" s="124"/>
      <c r="C306" s="83" t="s">
        <v>500</v>
      </c>
      <c r="D306" s="125" t="s">
        <v>501</v>
      </c>
      <c r="E306" s="125"/>
      <c r="F306" s="125"/>
      <c r="G306" s="125"/>
      <c r="H306" s="125"/>
      <c r="I306" s="124" t="s">
        <v>53</v>
      </c>
      <c r="J306" s="124"/>
      <c r="K306" s="84">
        <f>8*0.44</f>
        <v>3.52</v>
      </c>
      <c r="L306" s="84"/>
      <c r="M306" s="84"/>
      <c r="N306" s="84">
        <v>2722.4</v>
      </c>
      <c r="O306" s="84"/>
      <c r="P306" s="84">
        <f>K306*N306</f>
        <v>9582.848</v>
      </c>
      <c r="Q306" s="84">
        <v>13.002000000000001</v>
      </c>
      <c r="R306" s="84">
        <f>P306*Q306</f>
        <v>124596.189696</v>
      </c>
    </row>
    <row r="307" spans="1:18" ht="15.6" x14ac:dyDescent="0.3">
      <c r="A307" s="118"/>
      <c r="B307" s="118"/>
      <c r="C307" s="79"/>
      <c r="D307" s="119" t="s">
        <v>45</v>
      </c>
      <c r="E307" s="119"/>
      <c r="F307" s="119"/>
      <c r="G307" s="119"/>
      <c r="H307" s="119"/>
      <c r="I307" s="118"/>
      <c r="J307" s="118"/>
      <c r="K307" s="79"/>
      <c r="L307" s="79"/>
      <c r="M307" s="79"/>
      <c r="N307" s="79"/>
      <c r="O307" s="79"/>
      <c r="P307" s="75">
        <f>P305+P304+P302+P306</f>
        <v>10478.999487999999</v>
      </c>
      <c r="Q307" s="79"/>
      <c r="R307" s="75">
        <f>R305+R304+R302+R306</f>
        <v>151987.81335801599</v>
      </c>
    </row>
    <row r="308" spans="1:18" ht="31.2" x14ac:dyDescent="0.3">
      <c r="A308" s="121" t="s">
        <v>407</v>
      </c>
      <c r="B308" s="121"/>
      <c r="C308" s="75" t="s">
        <v>502</v>
      </c>
      <c r="D308" s="120" t="s">
        <v>503</v>
      </c>
      <c r="E308" s="120"/>
      <c r="F308" s="120"/>
      <c r="G308" s="120"/>
      <c r="H308" s="120"/>
      <c r="I308" s="122" t="s">
        <v>52</v>
      </c>
      <c r="J308" s="122"/>
      <c r="K308" s="76">
        <v>0.16</v>
      </c>
      <c r="L308" s="77">
        <v>1</v>
      </c>
      <c r="M308" s="77">
        <f>K308</f>
        <v>0.16</v>
      </c>
      <c r="N308" s="78"/>
      <c r="O308" s="79"/>
      <c r="P308" s="79"/>
      <c r="Q308" s="79"/>
      <c r="R308" s="80"/>
    </row>
    <row r="309" spans="1:18" ht="15.6" x14ac:dyDescent="0.3">
      <c r="A309" s="118"/>
      <c r="B309" s="118"/>
      <c r="C309" s="81">
        <v>1</v>
      </c>
      <c r="D309" s="119" t="s">
        <v>32</v>
      </c>
      <c r="E309" s="119"/>
      <c r="F309" s="119"/>
      <c r="G309" s="119"/>
      <c r="H309" s="119"/>
      <c r="I309" s="118"/>
      <c r="J309" s="118"/>
      <c r="K309" s="79"/>
      <c r="L309" s="79"/>
      <c r="M309" s="79"/>
      <c r="N309" s="75">
        <v>3178.94</v>
      </c>
      <c r="O309" s="79"/>
      <c r="P309" s="75">
        <f>M308*N309</f>
        <v>508.63040000000001</v>
      </c>
      <c r="Q309" s="75">
        <v>37.756999999999998</v>
      </c>
      <c r="R309" s="75">
        <f>P309*Q309</f>
        <v>19204.358012799999</v>
      </c>
    </row>
    <row r="310" spans="1:18" ht="15.6" x14ac:dyDescent="0.3">
      <c r="A310" s="118"/>
      <c r="B310" s="118"/>
      <c r="C310" s="81">
        <v>3</v>
      </c>
      <c r="D310" s="119" t="s">
        <v>33</v>
      </c>
      <c r="E310" s="119"/>
      <c r="F310" s="119"/>
      <c r="G310" s="119"/>
      <c r="H310" s="119"/>
      <c r="I310" s="118"/>
      <c r="J310" s="118"/>
      <c r="K310" s="79"/>
      <c r="L310" s="79"/>
      <c r="M310" s="79"/>
      <c r="N310" s="75">
        <v>4580.2299999999996</v>
      </c>
      <c r="O310" s="79"/>
      <c r="P310" s="75">
        <f>N310*M308</f>
        <v>732.83679999999993</v>
      </c>
      <c r="Q310" s="82">
        <v>21.128</v>
      </c>
      <c r="R310" s="75">
        <f>P310*Q310</f>
        <v>15483.375910399998</v>
      </c>
    </row>
    <row r="311" spans="1:18" ht="15.6" x14ac:dyDescent="0.3">
      <c r="A311" s="118"/>
      <c r="B311" s="118"/>
      <c r="C311" s="81">
        <v>2</v>
      </c>
      <c r="D311" s="119" t="s">
        <v>34</v>
      </c>
      <c r="E311" s="119"/>
      <c r="F311" s="119"/>
      <c r="G311" s="119"/>
      <c r="H311" s="119"/>
      <c r="I311" s="118"/>
      <c r="J311" s="118"/>
      <c r="K311" s="79"/>
      <c r="L311" s="79"/>
      <c r="M311" s="79"/>
      <c r="N311" s="75">
        <v>677.16</v>
      </c>
      <c r="O311" s="79"/>
      <c r="P311" s="75">
        <f>N311*M308</f>
        <v>108.34559999999999</v>
      </c>
      <c r="Q311" s="75">
        <v>37.756999999999998</v>
      </c>
      <c r="R311" s="75">
        <f>P311*Q311</f>
        <v>4090.8048191999992</v>
      </c>
    </row>
    <row r="312" spans="1:18" ht="15.6" x14ac:dyDescent="0.3">
      <c r="A312" s="118"/>
      <c r="B312" s="118"/>
      <c r="C312" s="81">
        <v>4</v>
      </c>
      <c r="D312" s="119" t="s">
        <v>35</v>
      </c>
      <c r="E312" s="119"/>
      <c r="F312" s="119"/>
      <c r="G312" s="119"/>
      <c r="H312" s="119"/>
      <c r="I312" s="118"/>
      <c r="J312" s="118"/>
      <c r="K312" s="79"/>
      <c r="L312" s="79"/>
      <c r="M312" s="79"/>
      <c r="N312" s="75">
        <v>2444.92</v>
      </c>
      <c r="O312" s="79"/>
      <c r="P312" s="75">
        <f>N312*M308</f>
        <v>391.18720000000002</v>
      </c>
      <c r="Q312" s="75">
        <v>13.002000000000001</v>
      </c>
      <c r="R312" s="75">
        <f>P312*Q312</f>
        <v>5086.2159744000001</v>
      </c>
    </row>
    <row r="313" spans="1:18" ht="15.6" x14ac:dyDescent="0.3">
      <c r="A313" s="118"/>
      <c r="B313" s="118"/>
      <c r="C313" s="79"/>
      <c r="D313" s="119" t="s">
        <v>36</v>
      </c>
      <c r="E313" s="119"/>
      <c r="F313" s="119"/>
      <c r="G313" s="119"/>
      <c r="H313" s="119"/>
      <c r="I313" s="118"/>
      <c r="J313" s="118"/>
      <c r="K313" s="75">
        <v>346.29</v>
      </c>
      <c r="L313" s="79"/>
      <c r="M313" s="75">
        <f>K313*M308</f>
        <v>55.406400000000005</v>
      </c>
      <c r="N313" s="79"/>
      <c r="O313" s="79"/>
      <c r="P313" s="79"/>
      <c r="Q313" s="79"/>
      <c r="R313" s="80"/>
    </row>
    <row r="314" spans="1:18" ht="15.6" x14ac:dyDescent="0.3">
      <c r="A314" s="118"/>
      <c r="B314" s="118"/>
      <c r="C314" s="79"/>
      <c r="D314" s="119" t="s">
        <v>37</v>
      </c>
      <c r="E314" s="119"/>
      <c r="F314" s="119"/>
      <c r="G314" s="119"/>
      <c r="H314" s="119"/>
      <c r="I314" s="118"/>
      <c r="J314" s="118"/>
      <c r="K314" s="75">
        <v>50.16</v>
      </c>
      <c r="L314" s="79"/>
      <c r="M314" s="75">
        <f>K314*M308</f>
        <v>8.025599999999999</v>
      </c>
      <c r="N314" s="79"/>
      <c r="O314" s="79"/>
      <c r="P314" s="79"/>
      <c r="Q314" s="79"/>
      <c r="R314" s="80"/>
    </row>
    <row r="315" spans="1:18" ht="15.6" x14ac:dyDescent="0.3">
      <c r="A315" s="118"/>
      <c r="B315" s="118"/>
      <c r="C315" s="79"/>
      <c r="D315" s="119" t="s">
        <v>38</v>
      </c>
      <c r="E315" s="119"/>
      <c r="F315" s="119"/>
      <c r="G315" s="119"/>
      <c r="H315" s="119"/>
      <c r="I315" s="118"/>
      <c r="J315" s="118"/>
      <c r="K315" s="79"/>
      <c r="L315" s="79"/>
      <c r="M315" s="79"/>
      <c r="N315" s="79"/>
      <c r="O315" s="79"/>
      <c r="P315" s="75">
        <f>SUM(P309:P312)</f>
        <v>1741.0000000000002</v>
      </c>
      <c r="Q315" s="79"/>
      <c r="R315" s="75">
        <f>SUM(R309:R312)</f>
        <v>43864.754716799995</v>
      </c>
    </row>
    <row r="316" spans="1:18" ht="15.6" x14ac:dyDescent="0.3">
      <c r="A316" s="118"/>
      <c r="B316" s="118"/>
      <c r="C316" s="79"/>
      <c r="D316" s="119" t="s">
        <v>39</v>
      </c>
      <c r="E316" s="119"/>
      <c r="F316" s="119"/>
      <c r="G316" s="119"/>
      <c r="H316" s="119"/>
      <c r="I316" s="118"/>
      <c r="J316" s="118"/>
      <c r="K316" s="79"/>
      <c r="L316" s="79"/>
      <c r="M316" s="79"/>
      <c r="N316" s="79"/>
      <c r="O316" s="79"/>
      <c r="P316" s="75">
        <f>P309+P311</f>
        <v>616.976</v>
      </c>
      <c r="Q316" s="79"/>
      <c r="R316" s="75">
        <f>R309+R311</f>
        <v>23295.162831999998</v>
      </c>
    </row>
    <row r="317" spans="1:18" ht="31.2" x14ac:dyDescent="0.3">
      <c r="A317" s="118"/>
      <c r="B317" s="118"/>
      <c r="C317" s="75" t="s">
        <v>40</v>
      </c>
      <c r="D317" s="119" t="s">
        <v>41</v>
      </c>
      <c r="E317" s="119"/>
      <c r="F317" s="119"/>
      <c r="G317" s="119"/>
      <c r="H317" s="119"/>
      <c r="I317" s="120" t="s">
        <v>42</v>
      </c>
      <c r="J317" s="120"/>
      <c r="K317" s="75">
        <v>116</v>
      </c>
      <c r="L317" s="79"/>
      <c r="M317" s="79"/>
      <c r="N317" s="79"/>
      <c r="O317" s="79"/>
      <c r="P317" s="75">
        <f>P316*K317/100</f>
        <v>715.69216000000006</v>
      </c>
      <c r="Q317" s="79"/>
      <c r="R317" s="75">
        <f>R316*K317/100</f>
        <v>27022.388885119999</v>
      </c>
    </row>
    <row r="318" spans="1:18" ht="31.2" x14ac:dyDescent="0.3">
      <c r="A318" s="118"/>
      <c r="B318" s="118"/>
      <c r="C318" s="75" t="s">
        <v>43</v>
      </c>
      <c r="D318" s="119" t="s">
        <v>44</v>
      </c>
      <c r="E318" s="119"/>
      <c r="F318" s="119"/>
      <c r="G318" s="119"/>
      <c r="H318" s="119"/>
      <c r="I318" s="120" t="s">
        <v>42</v>
      </c>
      <c r="J318" s="120"/>
      <c r="K318" s="75">
        <v>80</v>
      </c>
      <c r="L318" s="79"/>
      <c r="M318" s="79"/>
      <c r="N318" s="79"/>
      <c r="O318" s="79"/>
      <c r="P318" s="75">
        <f>P316*K318/100</f>
        <v>493.58080000000001</v>
      </c>
      <c r="Q318" s="79"/>
      <c r="R318" s="75">
        <f>R316*K318/100</f>
        <v>18636.130265600001</v>
      </c>
    </row>
    <row r="319" spans="1:18" ht="15.6" x14ac:dyDescent="0.3">
      <c r="A319" s="124"/>
      <c r="B319" s="124"/>
      <c r="C319" s="83" t="s">
        <v>500</v>
      </c>
      <c r="D319" s="125" t="s">
        <v>504</v>
      </c>
      <c r="E319" s="125"/>
      <c r="F319" s="125"/>
      <c r="G319" s="125"/>
      <c r="H319" s="125"/>
      <c r="I319" s="124" t="s">
        <v>53</v>
      </c>
      <c r="J319" s="124"/>
      <c r="K319" s="84">
        <f>16*0.72</f>
        <v>11.52</v>
      </c>
      <c r="L319" s="84"/>
      <c r="M319" s="84"/>
      <c r="N319" s="84">
        <v>2722.4</v>
      </c>
      <c r="O319" s="84"/>
      <c r="P319" s="84">
        <f>K319*N319</f>
        <v>31362.047999999999</v>
      </c>
      <c r="Q319" s="84">
        <v>13.002000000000001</v>
      </c>
      <c r="R319" s="84">
        <f>P319*Q319</f>
        <v>407769.34809600003</v>
      </c>
    </row>
    <row r="320" spans="1:18" ht="15.6" x14ac:dyDescent="0.3">
      <c r="A320" s="118"/>
      <c r="B320" s="118"/>
      <c r="C320" s="79"/>
      <c r="D320" s="119" t="s">
        <v>45</v>
      </c>
      <c r="E320" s="119"/>
      <c r="F320" s="119"/>
      <c r="G320" s="119"/>
      <c r="H320" s="119"/>
      <c r="I320" s="118"/>
      <c r="J320" s="118"/>
      <c r="K320" s="79"/>
      <c r="L320" s="79"/>
      <c r="M320" s="79"/>
      <c r="N320" s="79"/>
      <c r="O320" s="79"/>
      <c r="P320" s="75">
        <f>P318+P317+P315+P319</f>
        <v>34312.320959999997</v>
      </c>
      <c r="Q320" s="79"/>
      <c r="R320" s="75">
        <f>R318+R317+R315+R319</f>
        <v>497292.62196352001</v>
      </c>
    </row>
    <row r="321" spans="1:18" ht="15.6" x14ac:dyDescent="0.3">
      <c r="A321" s="121" t="s">
        <v>160</v>
      </c>
      <c r="B321" s="121"/>
      <c r="C321" s="75" t="s">
        <v>409</v>
      </c>
      <c r="D321" s="120" t="s">
        <v>104</v>
      </c>
      <c r="E321" s="120"/>
      <c r="F321" s="120"/>
      <c r="G321" s="120"/>
      <c r="H321" s="120"/>
      <c r="I321" s="122" t="s">
        <v>64</v>
      </c>
      <c r="J321" s="122"/>
      <c r="K321" s="76">
        <v>0.05</v>
      </c>
      <c r="L321" s="77">
        <v>1</v>
      </c>
      <c r="M321" s="77">
        <f>K321</f>
        <v>0.05</v>
      </c>
      <c r="N321" s="78"/>
      <c r="O321" s="79"/>
      <c r="P321" s="79"/>
      <c r="Q321" s="79"/>
      <c r="R321" s="80"/>
    </row>
    <row r="322" spans="1:18" ht="15.6" x14ac:dyDescent="0.3">
      <c r="A322" s="118"/>
      <c r="B322" s="118"/>
      <c r="C322" s="81">
        <v>1</v>
      </c>
      <c r="D322" s="119" t="s">
        <v>32</v>
      </c>
      <c r="E322" s="119"/>
      <c r="F322" s="119"/>
      <c r="G322" s="119"/>
      <c r="H322" s="119"/>
      <c r="I322" s="118"/>
      <c r="J322" s="118"/>
      <c r="K322" s="79"/>
      <c r="L322" s="79"/>
      <c r="M322" s="79"/>
      <c r="N322" s="75">
        <v>3951.91</v>
      </c>
      <c r="O322" s="79"/>
      <c r="P322" s="75">
        <f>M321*N322</f>
        <v>197.59550000000002</v>
      </c>
      <c r="Q322" s="75">
        <v>37.756999999999998</v>
      </c>
      <c r="R322" s="75">
        <f>P322*Q322</f>
        <v>7460.6132935000005</v>
      </c>
    </row>
    <row r="323" spans="1:18" ht="15.6" x14ac:dyDescent="0.3">
      <c r="A323" s="118"/>
      <c r="B323" s="118"/>
      <c r="C323" s="81">
        <v>3</v>
      </c>
      <c r="D323" s="119" t="s">
        <v>33</v>
      </c>
      <c r="E323" s="119"/>
      <c r="F323" s="119"/>
      <c r="G323" s="119"/>
      <c r="H323" s="119"/>
      <c r="I323" s="118"/>
      <c r="J323" s="118"/>
      <c r="K323" s="79"/>
      <c r="L323" s="79"/>
      <c r="M323" s="79"/>
      <c r="N323" s="75">
        <v>3727.5</v>
      </c>
      <c r="O323" s="79"/>
      <c r="P323" s="75">
        <f>N323*M321</f>
        <v>186.375</v>
      </c>
      <c r="Q323" s="82">
        <v>21.128</v>
      </c>
      <c r="R323" s="75">
        <f>P323*Q323</f>
        <v>3937.7310000000002</v>
      </c>
    </row>
    <row r="324" spans="1:18" ht="15.6" x14ac:dyDescent="0.3">
      <c r="A324" s="118"/>
      <c r="B324" s="118"/>
      <c r="C324" s="81">
        <v>2</v>
      </c>
      <c r="D324" s="119" t="s">
        <v>34</v>
      </c>
      <c r="E324" s="119"/>
      <c r="F324" s="119"/>
      <c r="G324" s="119"/>
      <c r="H324" s="119"/>
      <c r="I324" s="118"/>
      <c r="J324" s="118"/>
      <c r="K324" s="79"/>
      <c r="L324" s="79"/>
      <c r="M324" s="79"/>
      <c r="N324" s="75">
        <v>387.53</v>
      </c>
      <c r="O324" s="79"/>
      <c r="P324" s="75">
        <f>N324*M321</f>
        <v>19.3765</v>
      </c>
      <c r="Q324" s="75">
        <v>37.756999999999998</v>
      </c>
      <c r="R324" s="75">
        <f>P324*Q324</f>
        <v>731.59851049999997</v>
      </c>
    </row>
    <row r="325" spans="1:18" ht="15.6" x14ac:dyDescent="0.3">
      <c r="A325" s="118"/>
      <c r="B325" s="118"/>
      <c r="C325" s="81">
        <v>4</v>
      </c>
      <c r="D325" s="119" t="s">
        <v>35</v>
      </c>
      <c r="E325" s="119"/>
      <c r="F325" s="119"/>
      <c r="G325" s="119"/>
      <c r="H325" s="119"/>
      <c r="I325" s="118"/>
      <c r="J325" s="118"/>
      <c r="K325" s="79"/>
      <c r="L325" s="79"/>
      <c r="M325" s="79"/>
      <c r="N325" s="75">
        <v>109380.95</v>
      </c>
      <c r="O325" s="79"/>
      <c r="P325" s="75">
        <f>N325*M321</f>
        <v>5469.0475000000006</v>
      </c>
      <c r="Q325" s="75">
        <v>13.002000000000001</v>
      </c>
      <c r="R325" s="75">
        <f>P325*Q325</f>
        <v>71108.555595000013</v>
      </c>
    </row>
    <row r="326" spans="1:18" ht="15.6" x14ac:dyDescent="0.3">
      <c r="A326" s="118"/>
      <c r="B326" s="118"/>
      <c r="C326" s="79"/>
      <c r="D326" s="119" t="s">
        <v>36</v>
      </c>
      <c r="E326" s="119"/>
      <c r="F326" s="119"/>
      <c r="G326" s="119"/>
      <c r="H326" s="119"/>
      <c r="I326" s="118"/>
      <c r="J326" s="118"/>
      <c r="K326" s="75">
        <v>446.04</v>
      </c>
      <c r="L326" s="79"/>
      <c r="M326" s="75">
        <f>K326*M321</f>
        <v>22.302000000000003</v>
      </c>
      <c r="N326" s="79"/>
      <c r="O326" s="79"/>
      <c r="P326" s="79"/>
      <c r="Q326" s="79"/>
      <c r="R326" s="80"/>
    </row>
    <row r="327" spans="1:18" ht="15.6" x14ac:dyDescent="0.3">
      <c r="A327" s="118"/>
      <c r="B327" s="118"/>
      <c r="C327" s="79"/>
      <c r="D327" s="119" t="s">
        <v>37</v>
      </c>
      <c r="E327" s="119"/>
      <c r="F327" s="119"/>
      <c r="G327" s="119"/>
      <c r="H327" s="119"/>
      <c r="I327" s="118"/>
      <c r="J327" s="118"/>
      <c r="K327" s="75">
        <v>28.77</v>
      </c>
      <c r="L327" s="79"/>
      <c r="M327" s="75">
        <f>K327*M321</f>
        <v>1.4385000000000001</v>
      </c>
      <c r="N327" s="79"/>
      <c r="O327" s="79"/>
      <c r="P327" s="79"/>
      <c r="Q327" s="79"/>
      <c r="R327" s="80"/>
    </row>
    <row r="328" spans="1:18" ht="15.6" x14ac:dyDescent="0.3">
      <c r="A328" s="118"/>
      <c r="B328" s="118"/>
      <c r="C328" s="79"/>
      <c r="D328" s="119" t="s">
        <v>38</v>
      </c>
      <c r="E328" s="119"/>
      <c r="F328" s="119"/>
      <c r="G328" s="119"/>
      <c r="H328" s="119"/>
      <c r="I328" s="118"/>
      <c r="J328" s="118"/>
      <c r="K328" s="79"/>
      <c r="L328" s="79"/>
      <c r="M328" s="79"/>
      <c r="N328" s="79"/>
      <c r="O328" s="79"/>
      <c r="P328" s="75">
        <f>SUM(P322:P325)</f>
        <v>5872.3945000000003</v>
      </c>
      <c r="Q328" s="79"/>
      <c r="R328" s="75">
        <f>SUM(R322:R325)</f>
        <v>83238.498399000018</v>
      </c>
    </row>
    <row r="329" spans="1:18" ht="15.6" x14ac:dyDescent="0.3">
      <c r="A329" s="118"/>
      <c r="B329" s="118"/>
      <c r="C329" s="79"/>
      <c r="D329" s="119" t="s">
        <v>39</v>
      </c>
      <c r="E329" s="119"/>
      <c r="F329" s="119"/>
      <c r="G329" s="119"/>
      <c r="H329" s="119"/>
      <c r="I329" s="118"/>
      <c r="J329" s="118"/>
      <c r="K329" s="79"/>
      <c r="L329" s="79"/>
      <c r="M329" s="79"/>
      <c r="N329" s="79"/>
      <c r="O329" s="79"/>
      <c r="P329" s="75">
        <f>P322+P324</f>
        <v>216.97200000000001</v>
      </c>
      <c r="Q329" s="79"/>
      <c r="R329" s="75">
        <f>R322+R324</f>
        <v>8192.2118040000005</v>
      </c>
    </row>
    <row r="330" spans="1:18" ht="31.2" x14ac:dyDescent="0.3">
      <c r="A330" s="118"/>
      <c r="B330" s="118"/>
      <c r="C330" s="75" t="s">
        <v>40</v>
      </c>
      <c r="D330" s="119" t="s">
        <v>41</v>
      </c>
      <c r="E330" s="119"/>
      <c r="F330" s="119"/>
      <c r="G330" s="119"/>
      <c r="H330" s="119"/>
      <c r="I330" s="120" t="s">
        <v>42</v>
      </c>
      <c r="J330" s="120"/>
      <c r="K330" s="75">
        <v>102</v>
      </c>
      <c r="L330" s="79"/>
      <c r="M330" s="79"/>
      <c r="N330" s="79"/>
      <c r="O330" s="79"/>
      <c r="P330" s="75">
        <f>P329*K330/100</f>
        <v>221.31144</v>
      </c>
      <c r="Q330" s="79"/>
      <c r="R330" s="75">
        <f>R329*K330/100</f>
        <v>8356.0560400800005</v>
      </c>
    </row>
    <row r="331" spans="1:18" ht="31.2" x14ac:dyDescent="0.3">
      <c r="A331" s="118"/>
      <c r="B331" s="118"/>
      <c r="C331" s="75" t="s">
        <v>43</v>
      </c>
      <c r="D331" s="119" t="s">
        <v>44</v>
      </c>
      <c r="E331" s="119"/>
      <c r="F331" s="119"/>
      <c r="G331" s="119"/>
      <c r="H331" s="119"/>
      <c r="I331" s="120" t="s">
        <v>42</v>
      </c>
      <c r="J331" s="120"/>
      <c r="K331" s="75">
        <v>58</v>
      </c>
      <c r="L331" s="79"/>
      <c r="M331" s="79"/>
      <c r="N331" s="79"/>
      <c r="O331" s="79"/>
      <c r="P331" s="75">
        <f>P329*K331/100</f>
        <v>125.84376</v>
      </c>
      <c r="Q331" s="79"/>
      <c r="R331" s="75">
        <f>R329*K331/100</f>
        <v>4751.4828463200001</v>
      </c>
    </row>
    <row r="332" spans="1:18" ht="15.6" x14ac:dyDescent="0.3">
      <c r="A332" s="118"/>
      <c r="B332" s="118"/>
      <c r="C332" s="79"/>
      <c r="D332" s="119" t="s">
        <v>45</v>
      </c>
      <c r="E332" s="119"/>
      <c r="F332" s="119"/>
      <c r="G332" s="119"/>
      <c r="H332" s="119"/>
      <c r="I332" s="118"/>
      <c r="J332" s="118"/>
      <c r="K332" s="79"/>
      <c r="L332" s="79"/>
      <c r="M332" s="79"/>
      <c r="N332" s="79"/>
      <c r="O332" s="79"/>
      <c r="P332" s="75">
        <f>P331+P330+P328</f>
        <v>6219.5497000000005</v>
      </c>
      <c r="Q332" s="79"/>
      <c r="R332" s="75">
        <f>R331+R330+R328</f>
        <v>96346.037285400016</v>
      </c>
    </row>
    <row r="333" spans="1:18" ht="15.6" x14ac:dyDescent="0.3">
      <c r="A333" s="123"/>
      <c r="B333" s="123"/>
      <c r="C333" s="79"/>
      <c r="D333" s="120" t="s">
        <v>109</v>
      </c>
      <c r="E333" s="120"/>
      <c r="F333" s="120"/>
      <c r="G333" s="120"/>
      <c r="H333" s="120"/>
      <c r="I333" s="123"/>
      <c r="J333" s="123"/>
      <c r="K333" s="79"/>
      <c r="L333" s="79"/>
      <c r="M333" s="79"/>
      <c r="N333" s="79"/>
      <c r="O333" s="79"/>
      <c r="P333" s="75">
        <f>P265+P277+P294+P307+P320+P332</f>
        <v>169288.15212600003</v>
      </c>
      <c r="Q333" s="79"/>
      <c r="R333" s="75">
        <f>R265+R277+R294+R307+R320+R332</f>
        <v>2773506.4465577821</v>
      </c>
    </row>
    <row r="334" spans="1:18" ht="15.6" x14ac:dyDescent="0.3">
      <c r="A334" s="157" t="s">
        <v>110</v>
      </c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</row>
    <row r="335" spans="1:18" ht="15.6" x14ac:dyDescent="0.3">
      <c r="A335" s="121" t="s">
        <v>103</v>
      </c>
      <c r="B335" s="121"/>
      <c r="C335" s="75" t="s">
        <v>112</v>
      </c>
      <c r="D335" s="120" t="s">
        <v>111</v>
      </c>
      <c r="E335" s="120"/>
      <c r="F335" s="120"/>
      <c r="G335" s="120"/>
      <c r="H335" s="120"/>
      <c r="I335" s="122" t="s">
        <v>76</v>
      </c>
      <c r="J335" s="122"/>
      <c r="K335" s="76">
        <v>0.23</v>
      </c>
      <c r="L335" s="77">
        <v>1</v>
      </c>
      <c r="M335" s="77">
        <f>K335</f>
        <v>0.23</v>
      </c>
      <c r="N335" s="78"/>
      <c r="O335" s="79"/>
      <c r="P335" s="79"/>
      <c r="Q335" s="79"/>
      <c r="R335" s="80"/>
    </row>
    <row r="336" spans="1:18" ht="15.6" x14ac:dyDescent="0.3">
      <c r="A336" s="118"/>
      <c r="B336" s="118"/>
      <c r="C336" s="81">
        <v>1</v>
      </c>
      <c r="D336" s="119" t="s">
        <v>32</v>
      </c>
      <c r="E336" s="119"/>
      <c r="F336" s="119"/>
      <c r="G336" s="119"/>
      <c r="H336" s="119"/>
      <c r="I336" s="118"/>
      <c r="J336" s="118"/>
      <c r="K336" s="79"/>
      <c r="L336" s="79"/>
      <c r="M336" s="79"/>
      <c r="N336" s="75">
        <v>888.9</v>
      </c>
      <c r="O336" s="79"/>
      <c r="P336" s="75">
        <f>M335*N336</f>
        <v>204.447</v>
      </c>
      <c r="Q336" s="75">
        <v>37.756999999999998</v>
      </c>
      <c r="R336" s="75">
        <f>P336*Q336</f>
        <v>7719.3053789999994</v>
      </c>
    </row>
    <row r="337" spans="1:18" ht="15.6" x14ac:dyDescent="0.3">
      <c r="A337" s="118"/>
      <c r="B337" s="118"/>
      <c r="C337" s="81">
        <v>3</v>
      </c>
      <c r="D337" s="119" t="s">
        <v>33</v>
      </c>
      <c r="E337" s="119"/>
      <c r="F337" s="119"/>
      <c r="G337" s="119"/>
      <c r="H337" s="119"/>
      <c r="I337" s="118"/>
      <c r="J337" s="118"/>
      <c r="K337" s="79"/>
      <c r="L337" s="79"/>
      <c r="M337" s="79"/>
      <c r="N337" s="75">
        <v>278.17</v>
      </c>
      <c r="O337" s="79"/>
      <c r="P337" s="75">
        <f>N337*M335</f>
        <v>63.97910000000001</v>
      </c>
      <c r="Q337" s="82">
        <v>21.128</v>
      </c>
      <c r="R337" s="75">
        <f>P337*Q337</f>
        <v>1351.7504248000002</v>
      </c>
    </row>
    <row r="338" spans="1:18" ht="15.6" x14ac:dyDescent="0.3">
      <c r="A338" s="118"/>
      <c r="B338" s="118"/>
      <c r="C338" s="81">
        <v>2</v>
      </c>
      <c r="D338" s="119" t="s">
        <v>34</v>
      </c>
      <c r="E338" s="119"/>
      <c r="F338" s="119"/>
      <c r="G338" s="119"/>
      <c r="H338" s="119"/>
      <c r="I338" s="118"/>
      <c r="J338" s="118"/>
      <c r="K338" s="79"/>
      <c r="L338" s="79"/>
      <c r="M338" s="79"/>
      <c r="N338" s="75">
        <v>28.89</v>
      </c>
      <c r="O338" s="79"/>
      <c r="P338" s="75">
        <f>N338*M335</f>
        <v>6.6447000000000003</v>
      </c>
      <c r="Q338" s="75">
        <v>37.756999999999998</v>
      </c>
      <c r="R338" s="75">
        <f>P338*Q338</f>
        <v>250.88393790000001</v>
      </c>
    </row>
    <row r="339" spans="1:18" ht="15.6" x14ac:dyDescent="0.3">
      <c r="A339" s="118"/>
      <c r="B339" s="118"/>
      <c r="C339" s="81">
        <v>4</v>
      </c>
      <c r="D339" s="119" t="s">
        <v>35</v>
      </c>
      <c r="E339" s="119"/>
      <c r="F339" s="119"/>
      <c r="G339" s="119"/>
      <c r="H339" s="119"/>
      <c r="I339" s="118"/>
      <c r="J339" s="118"/>
      <c r="K339" s="79"/>
      <c r="L339" s="79"/>
      <c r="M339" s="79"/>
      <c r="N339" s="75">
        <v>19853.439999999999</v>
      </c>
      <c r="O339" s="79"/>
      <c r="P339" s="75">
        <f>N339*M335</f>
        <v>4566.2911999999997</v>
      </c>
      <c r="Q339" s="75">
        <v>13.002000000000001</v>
      </c>
      <c r="R339" s="75">
        <f>P339*Q339</f>
        <v>59370.918182399997</v>
      </c>
    </row>
    <row r="340" spans="1:18" ht="15.6" x14ac:dyDescent="0.3">
      <c r="A340" s="118"/>
      <c r="B340" s="118"/>
      <c r="C340" s="79"/>
      <c r="D340" s="119" t="s">
        <v>36</v>
      </c>
      <c r="E340" s="119"/>
      <c r="F340" s="119"/>
      <c r="G340" s="119"/>
      <c r="H340" s="119"/>
      <c r="I340" s="118"/>
      <c r="J340" s="118"/>
      <c r="K340" s="75">
        <v>96.83</v>
      </c>
      <c r="L340" s="79"/>
      <c r="M340" s="75">
        <f>K340*M335</f>
        <v>22.270900000000001</v>
      </c>
      <c r="N340" s="79"/>
      <c r="O340" s="79"/>
      <c r="P340" s="79"/>
      <c r="Q340" s="79"/>
      <c r="R340" s="80"/>
    </row>
    <row r="341" spans="1:18" ht="15.6" x14ac:dyDescent="0.3">
      <c r="A341" s="118"/>
      <c r="B341" s="118"/>
      <c r="C341" s="79"/>
      <c r="D341" s="119" t="s">
        <v>37</v>
      </c>
      <c r="E341" s="119"/>
      <c r="F341" s="119"/>
      <c r="G341" s="119"/>
      <c r="H341" s="119"/>
      <c r="I341" s="118"/>
      <c r="J341" s="118"/>
      <c r="K341" s="75">
        <v>2.14</v>
      </c>
      <c r="L341" s="79"/>
      <c r="M341" s="75">
        <f>K341*M335</f>
        <v>0.49220000000000003</v>
      </c>
      <c r="N341" s="79"/>
      <c r="O341" s="79"/>
      <c r="P341" s="79"/>
      <c r="Q341" s="79"/>
      <c r="R341" s="80"/>
    </row>
    <row r="342" spans="1:18" ht="15.6" x14ac:dyDescent="0.3">
      <c r="A342" s="118"/>
      <c r="B342" s="118"/>
      <c r="C342" s="79"/>
      <c r="D342" s="119" t="s">
        <v>38</v>
      </c>
      <c r="E342" s="119"/>
      <c r="F342" s="119"/>
      <c r="G342" s="119"/>
      <c r="H342" s="119"/>
      <c r="I342" s="118"/>
      <c r="J342" s="118"/>
      <c r="K342" s="79"/>
      <c r="L342" s="79"/>
      <c r="M342" s="79"/>
      <c r="N342" s="79"/>
      <c r="O342" s="79"/>
      <c r="P342" s="75">
        <f>SUM(P336:P339)</f>
        <v>4841.3620000000001</v>
      </c>
      <c r="Q342" s="79"/>
      <c r="R342" s="75">
        <f>SUM(R336:R339)</f>
        <v>68692.857924099997</v>
      </c>
    </row>
    <row r="343" spans="1:18" ht="15.6" x14ac:dyDescent="0.3">
      <c r="A343" s="118"/>
      <c r="B343" s="118"/>
      <c r="C343" s="79"/>
      <c r="D343" s="119" t="s">
        <v>39</v>
      </c>
      <c r="E343" s="119"/>
      <c r="F343" s="119"/>
      <c r="G343" s="119"/>
      <c r="H343" s="119"/>
      <c r="I343" s="118"/>
      <c r="J343" s="118"/>
      <c r="K343" s="79"/>
      <c r="L343" s="79"/>
      <c r="M343" s="79"/>
      <c r="N343" s="79"/>
      <c r="O343" s="79"/>
      <c r="P343" s="75">
        <f>P336+P338</f>
        <v>211.0917</v>
      </c>
      <c r="Q343" s="79"/>
      <c r="R343" s="75">
        <f>R336+R338</f>
        <v>7970.1893168999995</v>
      </c>
    </row>
    <row r="344" spans="1:18" ht="31.2" x14ac:dyDescent="0.3">
      <c r="A344" s="118"/>
      <c r="B344" s="118"/>
      <c r="C344" s="75" t="s">
        <v>40</v>
      </c>
      <c r="D344" s="119" t="s">
        <v>41</v>
      </c>
      <c r="E344" s="119"/>
      <c r="F344" s="119"/>
      <c r="G344" s="119"/>
      <c r="H344" s="119"/>
      <c r="I344" s="120" t="s">
        <v>42</v>
      </c>
      <c r="J344" s="120"/>
      <c r="K344" s="75">
        <v>110</v>
      </c>
      <c r="L344" s="79"/>
      <c r="M344" s="79"/>
      <c r="N344" s="79"/>
      <c r="O344" s="79"/>
      <c r="P344" s="75">
        <f>P343*K344/100</f>
        <v>232.20087000000001</v>
      </c>
      <c r="Q344" s="79"/>
      <c r="R344" s="75">
        <f>R343*K344/100</f>
        <v>8767.2082485899991</v>
      </c>
    </row>
    <row r="345" spans="1:18" ht="31.2" x14ac:dyDescent="0.3">
      <c r="A345" s="118"/>
      <c r="B345" s="118"/>
      <c r="C345" s="75" t="s">
        <v>43</v>
      </c>
      <c r="D345" s="119" t="s">
        <v>44</v>
      </c>
      <c r="E345" s="119"/>
      <c r="F345" s="119"/>
      <c r="G345" s="119"/>
      <c r="H345" s="119"/>
      <c r="I345" s="120" t="s">
        <v>42</v>
      </c>
      <c r="J345" s="120"/>
      <c r="K345" s="75">
        <v>69</v>
      </c>
      <c r="L345" s="79"/>
      <c r="M345" s="79"/>
      <c r="N345" s="79"/>
      <c r="O345" s="79"/>
      <c r="P345" s="75">
        <f>P343*K345/100</f>
        <v>145.65327300000001</v>
      </c>
      <c r="Q345" s="79"/>
      <c r="R345" s="75">
        <f>R343*K345/100</f>
        <v>5499.4306286609999</v>
      </c>
    </row>
    <row r="346" spans="1:18" ht="15.6" x14ac:dyDescent="0.3">
      <c r="A346" s="118"/>
      <c r="B346" s="118"/>
      <c r="C346" s="79"/>
      <c r="D346" s="119" t="s">
        <v>45</v>
      </c>
      <c r="E346" s="119"/>
      <c r="F346" s="119"/>
      <c r="G346" s="119"/>
      <c r="H346" s="119"/>
      <c r="I346" s="118"/>
      <c r="J346" s="118"/>
      <c r="K346" s="79"/>
      <c r="L346" s="79"/>
      <c r="M346" s="79"/>
      <c r="N346" s="79"/>
      <c r="O346" s="79"/>
      <c r="P346" s="75">
        <f>P345+P344+P342</f>
        <v>5219.2161429999996</v>
      </c>
      <c r="Q346" s="79"/>
      <c r="R346" s="75">
        <f>R345+R344+R342</f>
        <v>82959.496801350993</v>
      </c>
    </row>
    <row r="347" spans="1:18" ht="15.6" x14ac:dyDescent="0.3">
      <c r="A347" s="123"/>
      <c r="B347" s="123"/>
      <c r="C347" s="79"/>
      <c r="D347" s="120" t="s">
        <v>113</v>
      </c>
      <c r="E347" s="120"/>
      <c r="F347" s="120"/>
      <c r="G347" s="120"/>
      <c r="H347" s="120"/>
      <c r="I347" s="123"/>
      <c r="J347" s="123"/>
      <c r="K347" s="79"/>
      <c r="L347" s="79"/>
      <c r="M347" s="79"/>
      <c r="N347" s="79"/>
      <c r="O347" s="79"/>
      <c r="P347" s="75">
        <f>P346</f>
        <v>5219.2161429999996</v>
      </c>
      <c r="Q347" s="79"/>
      <c r="R347" s="75">
        <f>R346</f>
        <v>82959.496801350993</v>
      </c>
    </row>
    <row r="348" spans="1:18" ht="15.6" x14ac:dyDescent="0.3">
      <c r="A348" s="157" t="s">
        <v>114</v>
      </c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</row>
    <row r="349" spans="1:18" ht="15.6" x14ac:dyDescent="0.3">
      <c r="A349" s="121" t="s">
        <v>105</v>
      </c>
      <c r="B349" s="121"/>
      <c r="C349" s="75" t="s">
        <v>118</v>
      </c>
      <c r="D349" s="120" t="s">
        <v>117</v>
      </c>
      <c r="E349" s="120"/>
      <c r="F349" s="120"/>
      <c r="G349" s="120"/>
      <c r="H349" s="120"/>
      <c r="I349" s="122" t="s">
        <v>50</v>
      </c>
      <c r="J349" s="122"/>
      <c r="K349" s="76">
        <v>4.4400000000000004</v>
      </c>
      <c r="L349" s="77">
        <v>1</v>
      </c>
      <c r="M349" s="77">
        <f>K349</f>
        <v>4.4400000000000004</v>
      </c>
      <c r="N349" s="78"/>
      <c r="O349" s="79"/>
      <c r="P349" s="79"/>
      <c r="Q349" s="79"/>
      <c r="R349" s="80"/>
    </row>
    <row r="350" spans="1:18" ht="15.6" x14ac:dyDescent="0.3">
      <c r="A350" s="118"/>
      <c r="B350" s="118"/>
      <c r="C350" s="81">
        <v>1</v>
      </c>
      <c r="D350" s="119" t="s">
        <v>32</v>
      </c>
      <c r="E350" s="119"/>
      <c r="F350" s="119"/>
      <c r="G350" s="119"/>
      <c r="H350" s="119"/>
      <c r="I350" s="118"/>
      <c r="J350" s="118"/>
      <c r="K350" s="79"/>
      <c r="L350" s="79"/>
      <c r="M350" s="79"/>
      <c r="N350" s="75">
        <v>200.19</v>
      </c>
      <c r="O350" s="79"/>
      <c r="P350" s="75">
        <f>M349*N350</f>
        <v>888.84360000000004</v>
      </c>
      <c r="Q350" s="75">
        <v>37.756999999999998</v>
      </c>
      <c r="R350" s="75">
        <f>P350*Q350</f>
        <v>33560.0678052</v>
      </c>
    </row>
    <row r="351" spans="1:18" ht="15.6" x14ac:dyDescent="0.3">
      <c r="A351" s="118"/>
      <c r="B351" s="118"/>
      <c r="C351" s="81">
        <v>3</v>
      </c>
      <c r="D351" s="119" t="s">
        <v>33</v>
      </c>
      <c r="E351" s="119"/>
      <c r="F351" s="119"/>
      <c r="G351" s="119"/>
      <c r="H351" s="119"/>
      <c r="I351" s="118"/>
      <c r="J351" s="118"/>
      <c r="K351" s="79"/>
      <c r="L351" s="79"/>
      <c r="M351" s="79"/>
      <c r="N351" s="75">
        <v>38.22</v>
      </c>
      <c r="O351" s="79"/>
      <c r="P351" s="75">
        <f>N351*M349</f>
        <v>169.6968</v>
      </c>
      <c r="Q351" s="82">
        <v>21.128</v>
      </c>
      <c r="R351" s="75">
        <f>P351*Q351</f>
        <v>3585.3539903999999</v>
      </c>
    </row>
    <row r="352" spans="1:18" ht="15.6" x14ac:dyDescent="0.3">
      <c r="A352" s="118"/>
      <c r="B352" s="118"/>
      <c r="C352" s="81">
        <v>2</v>
      </c>
      <c r="D352" s="119" t="s">
        <v>34</v>
      </c>
      <c r="E352" s="119"/>
      <c r="F352" s="119"/>
      <c r="G352" s="119"/>
      <c r="H352" s="119"/>
      <c r="I352" s="118"/>
      <c r="J352" s="118"/>
      <c r="K352" s="79"/>
      <c r="L352" s="79"/>
      <c r="M352" s="79"/>
      <c r="N352" s="75">
        <v>2.0299999999999998</v>
      </c>
      <c r="O352" s="79"/>
      <c r="P352" s="75">
        <f>N352*M349</f>
        <v>9.0131999999999994</v>
      </c>
      <c r="Q352" s="75">
        <v>37.756999999999998</v>
      </c>
      <c r="R352" s="75">
        <f>P352*Q352</f>
        <v>340.31139239999993</v>
      </c>
    </row>
    <row r="353" spans="1:18" ht="15.6" x14ac:dyDescent="0.3">
      <c r="A353" s="118"/>
      <c r="B353" s="118"/>
      <c r="C353" s="81">
        <v>4</v>
      </c>
      <c r="D353" s="119" t="s">
        <v>35</v>
      </c>
      <c r="E353" s="119"/>
      <c r="F353" s="119"/>
      <c r="G353" s="119"/>
      <c r="H353" s="119"/>
      <c r="I353" s="118"/>
      <c r="J353" s="118"/>
      <c r="K353" s="79"/>
      <c r="L353" s="79"/>
      <c r="M353" s="79"/>
      <c r="N353" s="75">
        <v>2062.2600000000002</v>
      </c>
      <c r="O353" s="79"/>
      <c r="P353" s="75">
        <f>N353*M349</f>
        <v>9156.4344000000019</v>
      </c>
      <c r="Q353" s="75">
        <v>13.002000000000001</v>
      </c>
      <c r="R353" s="75">
        <f>P353*Q353</f>
        <v>119051.96006880004</v>
      </c>
    </row>
    <row r="354" spans="1:18" ht="15.6" x14ac:dyDescent="0.3">
      <c r="A354" s="118"/>
      <c r="B354" s="118"/>
      <c r="C354" s="79"/>
      <c r="D354" s="119" t="s">
        <v>36</v>
      </c>
      <c r="E354" s="119"/>
      <c r="F354" s="119"/>
      <c r="G354" s="119"/>
      <c r="H354" s="119"/>
      <c r="I354" s="118"/>
      <c r="J354" s="118"/>
      <c r="K354" s="75">
        <v>24.09</v>
      </c>
      <c r="L354" s="79"/>
      <c r="M354" s="75">
        <f>K354*M349</f>
        <v>106.95960000000001</v>
      </c>
      <c r="N354" s="79"/>
      <c r="O354" s="79"/>
      <c r="P354" s="79"/>
      <c r="Q354" s="79"/>
      <c r="R354" s="80"/>
    </row>
    <row r="355" spans="1:18" ht="15.6" x14ac:dyDescent="0.3">
      <c r="A355" s="118"/>
      <c r="B355" s="118"/>
      <c r="C355" s="79"/>
      <c r="D355" s="119" t="s">
        <v>37</v>
      </c>
      <c r="E355" s="119"/>
      <c r="F355" s="119"/>
      <c r="G355" s="119"/>
      <c r="H355" s="119"/>
      <c r="I355" s="118"/>
      <c r="J355" s="118"/>
      <c r="K355" s="75">
        <v>0.15</v>
      </c>
      <c r="L355" s="79"/>
      <c r="M355" s="75">
        <f>K355*M349</f>
        <v>0.66600000000000004</v>
      </c>
      <c r="N355" s="79"/>
      <c r="O355" s="79"/>
      <c r="P355" s="79"/>
      <c r="Q355" s="79"/>
      <c r="R355" s="80"/>
    </row>
    <row r="356" spans="1:18" ht="15.6" x14ac:dyDescent="0.3">
      <c r="A356" s="118"/>
      <c r="B356" s="118"/>
      <c r="C356" s="79"/>
      <c r="D356" s="119" t="s">
        <v>38</v>
      </c>
      <c r="E356" s="119"/>
      <c r="F356" s="119"/>
      <c r="G356" s="119"/>
      <c r="H356" s="119"/>
      <c r="I356" s="118"/>
      <c r="J356" s="118"/>
      <c r="K356" s="79"/>
      <c r="L356" s="79"/>
      <c r="M356" s="79"/>
      <c r="N356" s="79"/>
      <c r="O356" s="79"/>
      <c r="P356" s="75">
        <f>SUM(P350:P353)</f>
        <v>10223.988000000001</v>
      </c>
      <c r="Q356" s="79"/>
      <c r="R356" s="75">
        <f>SUM(R350:R353)</f>
        <v>156537.69325680003</v>
      </c>
    </row>
    <row r="357" spans="1:18" ht="15.6" x14ac:dyDescent="0.3">
      <c r="A357" s="118"/>
      <c r="B357" s="118"/>
      <c r="C357" s="79"/>
      <c r="D357" s="119" t="s">
        <v>39</v>
      </c>
      <c r="E357" s="119"/>
      <c r="F357" s="119"/>
      <c r="G357" s="119"/>
      <c r="H357" s="119"/>
      <c r="I357" s="118"/>
      <c r="J357" s="118"/>
      <c r="K357" s="79"/>
      <c r="L357" s="79"/>
      <c r="M357" s="79"/>
      <c r="N357" s="79"/>
      <c r="O357" s="79"/>
      <c r="P357" s="75">
        <f>P350+P352</f>
        <v>897.85680000000002</v>
      </c>
      <c r="Q357" s="79"/>
      <c r="R357" s="75">
        <f>R350+R352</f>
        <v>33900.379197599999</v>
      </c>
    </row>
    <row r="358" spans="1:18" ht="31.2" x14ac:dyDescent="0.3">
      <c r="A358" s="118"/>
      <c r="B358" s="118"/>
      <c r="C358" s="75" t="s">
        <v>40</v>
      </c>
      <c r="D358" s="119" t="s">
        <v>41</v>
      </c>
      <c r="E358" s="119"/>
      <c r="F358" s="119"/>
      <c r="G358" s="119"/>
      <c r="H358" s="119"/>
      <c r="I358" s="120" t="s">
        <v>42</v>
      </c>
      <c r="J358" s="120"/>
      <c r="K358" s="75">
        <v>108</v>
      </c>
      <c r="L358" s="79"/>
      <c r="M358" s="79"/>
      <c r="N358" s="79"/>
      <c r="O358" s="79"/>
      <c r="P358" s="75">
        <f>P357*K358/100</f>
        <v>969.68534399999999</v>
      </c>
      <c r="Q358" s="79"/>
      <c r="R358" s="75">
        <f>R357*K358/100</f>
        <v>36612.409533407998</v>
      </c>
    </row>
    <row r="359" spans="1:18" ht="31.2" x14ac:dyDescent="0.3">
      <c r="A359" s="118"/>
      <c r="B359" s="118"/>
      <c r="C359" s="75" t="s">
        <v>43</v>
      </c>
      <c r="D359" s="119" t="s">
        <v>44</v>
      </c>
      <c r="E359" s="119"/>
      <c r="F359" s="119"/>
      <c r="G359" s="119"/>
      <c r="H359" s="119"/>
      <c r="I359" s="120" t="s">
        <v>42</v>
      </c>
      <c r="J359" s="120"/>
      <c r="K359" s="75">
        <v>55</v>
      </c>
      <c r="L359" s="79"/>
      <c r="M359" s="79"/>
      <c r="N359" s="79"/>
      <c r="O359" s="79"/>
      <c r="P359" s="75">
        <f>P357*K359/100</f>
        <v>493.82124000000005</v>
      </c>
      <c r="Q359" s="79"/>
      <c r="R359" s="75">
        <f>R357*K359/100</f>
        <v>18645.208558680002</v>
      </c>
    </row>
    <row r="360" spans="1:18" ht="15.6" x14ac:dyDescent="0.3">
      <c r="A360" s="118"/>
      <c r="B360" s="118"/>
      <c r="C360" s="79"/>
      <c r="D360" s="119" t="s">
        <v>45</v>
      </c>
      <c r="E360" s="119"/>
      <c r="F360" s="119"/>
      <c r="G360" s="119"/>
      <c r="H360" s="119"/>
      <c r="I360" s="118"/>
      <c r="J360" s="118"/>
      <c r="K360" s="79"/>
      <c r="L360" s="79"/>
      <c r="M360" s="79"/>
      <c r="N360" s="79"/>
      <c r="O360" s="79"/>
      <c r="P360" s="75">
        <f>P359+P358+P356</f>
        <v>11687.494584000002</v>
      </c>
      <c r="Q360" s="79"/>
      <c r="R360" s="75">
        <f>R359+R358+R356</f>
        <v>211795.31134888803</v>
      </c>
    </row>
    <row r="361" spans="1:18" ht="15.6" x14ac:dyDescent="0.3">
      <c r="A361" s="121" t="s">
        <v>517</v>
      </c>
      <c r="B361" s="121"/>
      <c r="C361" s="75" t="s">
        <v>124</v>
      </c>
      <c r="D361" s="120" t="s">
        <v>123</v>
      </c>
      <c r="E361" s="120"/>
      <c r="F361" s="120"/>
      <c r="G361" s="120"/>
      <c r="H361" s="120"/>
      <c r="I361" s="122" t="s">
        <v>76</v>
      </c>
      <c r="J361" s="122"/>
      <c r="K361" s="76">
        <v>1.5</v>
      </c>
      <c r="L361" s="77">
        <v>1</v>
      </c>
      <c r="M361" s="77">
        <f>K361</f>
        <v>1.5</v>
      </c>
      <c r="N361" s="78"/>
      <c r="O361" s="79"/>
      <c r="P361" s="79"/>
      <c r="Q361" s="79"/>
      <c r="R361" s="80"/>
    </row>
    <row r="362" spans="1:18" ht="15.6" x14ac:dyDescent="0.3">
      <c r="A362" s="118"/>
      <c r="B362" s="118"/>
      <c r="C362" s="81">
        <v>1</v>
      </c>
      <c r="D362" s="119" t="s">
        <v>32</v>
      </c>
      <c r="E362" s="119"/>
      <c r="F362" s="119"/>
      <c r="G362" s="119"/>
      <c r="H362" s="119"/>
      <c r="I362" s="118"/>
      <c r="J362" s="118"/>
      <c r="K362" s="79"/>
      <c r="L362" s="79"/>
      <c r="M362" s="79"/>
      <c r="N362" s="75">
        <v>164.59</v>
      </c>
      <c r="O362" s="79"/>
      <c r="P362" s="75">
        <f>M361*N362</f>
        <v>246.88499999999999</v>
      </c>
      <c r="Q362" s="75">
        <v>37.756999999999998</v>
      </c>
      <c r="R362" s="75">
        <f>P362*Q362</f>
        <v>9321.6369449999984</v>
      </c>
    </row>
    <row r="363" spans="1:18" ht="15.6" x14ac:dyDescent="0.3">
      <c r="A363" s="118"/>
      <c r="B363" s="118"/>
      <c r="C363" s="81">
        <v>3</v>
      </c>
      <c r="D363" s="119" t="s">
        <v>33</v>
      </c>
      <c r="E363" s="119"/>
      <c r="F363" s="119"/>
      <c r="G363" s="119"/>
      <c r="H363" s="119"/>
      <c r="I363" s="118"/>
      <c r="J363" s="118"/>
      <c r="K363" s="79"/>
      <c r="L363" s="79"/>
      <c r="M363" s="79"/>
      <c r="N363" s="75">
        <v>80.36</v>
      </c>
      <c r="O363" s="79"/>
      <c r="P363" s="75">
        <f>N363*M361</f>
        <v>120.53999999999999</v>
      </c>
      <c r="Q363" s="82">
        <v>21.128</v>
      </c>
      <c r="R363" s="75">
        <f>P363*Q363</f>
        <v>2546.7691199999999</v>
      </c>
    </row>
    <row r="364" spans="1:18" ht="15.6" x14ac:dyDescent="0.3">
      <c r="A364" s="118"/>
      <c r="B364" s="118"/>
      <c r="C364" s="81">
        <v>2</v>
      </c>
      <c r="D364" s="119" t="s">
        <v>34</v>
      </c>
      <c r="E364" s="119"/>
      <c r="F364" s="119"/>
      <c r="G364" s="119"/>
      <c r="H364" s="119"/>
      <c r="I364" s="118"/>
      <c r="J364" s="118"/>
      <c r="K364" s="79"/>
      <c r="L364" s="79"/>
      <c r="M364" s="79"/>
      <c r="N364" s="75">
        <v>2.4300000000000002</v>
      </c>
      <c r="O364" s="79"/>
      <c r="P364" s="75">
        <f>N364*M361</f>
        <v>3.6450000000000005</v>
      </c>
      <c r="Q364" s="75">
        <v>37.756999999999998</v>
      </c>
      <c r="R364" s="75">
        <f>P364*Q364</f>
        <v>137.62426500000001</v>
      </c>
    </row>
    <row r="365" spans="1:18" ht="15.6" x14ac:dyDescent="0.3">
      <c r="A365" s="118"/>
      <c r="B365" s="118"/>
      <c r="C365" s="81">
        <v>4</v>
      </c>
      <c r="D365" s="119" t="s">
        <v>35</v>
      </c>
      <c r="E365" s="119"/>
      <c r="F365" s="119"/>
      <c r="G365" s="119"/>
      <c r="H365" s="119"/>
      <c r="I365" s="118"/>
      <c r="J365" s="118"/>
      <c r="K365" s="79"/>
      <c r="L365" s="79"/>
      <c r="M365" s="79"/>
      <c r="N365" s="75">
        <v>1541.1</v>
      </c>
      <c r="O365" s="79"/>
      <c r="P365" s="75">
        <f>N365*M361</f>
        <v>2311.6499999999996</v>
      </c>
      <c r="Q365" s="75">
        <v>13.002000000000001</v>
      </c>
      <c r="R365" s="75">
        <f>P365*Q365</f>
        <v>30056.073299999996</v>
      </c>
    </row>
    <row r="366" spans="1:18" ht="15.6" x14ac:dyDescent="0.3">
      <c r="A366" s="118"/>
      <c r="B366" s="118"/>
      <c r="C366" s="79"/>
      <c r="D366" s="119" t="s">
        <v>36</v>
      </c>
      <c r="E366" s="119"/>
      <c r="F366" s="119"/>
      <c r="G366" s="119"/>
      <c r="H366" s="119"/>
      <c r="I366" s="118"/>
      <c r="J366" s="118"/>
      <c r="K366" s="75">
        <v>17.510000000000002</v>
      </c>
      <c r="L366" s="79"/>
      <c r="M366" s="75">
        <f>K366*M361</f>
        <v>26.265000000000001</v>
      </c>
      <c r="N366" s="79"/>
      <c r="O366" s="79"/>
      <c r="P366" s="79"/>
      <c r="Q366" s="79"/>
      <c r="R366" s="80"/>
    </row>
    <row r="367" spans="1:18" ht="15.6" x14ac:dyDescent="0.3">
      <c r="A367" s="118"/>
      <c r="B367" s="118"/>
      <c r="C367" s="79"/>
      <c r="D367" s="119" t="s">
        <v>37</v>
      </c>
      <c r="E367" s="119"/>
      <c r="F367" s="119"/>
      <c r="G367" s="119"/>
      <c r="H367" s="119"/>
      <c r="I367" s="118"/>
      <c r="J367" s="118"/>
      <c r="K367" s="75">
        <v>0.18</v>
      </c>
      <c r="L367" s="79"/>
      <c r="M367" s="75">
        <f>K367*M361</f>
        <v>0.27</v>
      </c>
      <c r="N367" s="79"/>
      <c r="O367" s="79"/>
      <c r="P367" s="79"/>
      <c r="Q367" s="79"/>
      <c r="R367" s="80"/>
    </row>
    <row r="368" spans="1:18" ht="15.6" x14ac:dyDescent="0.3">
      <c r="A368" s="118"/>
      <c r="B368" s="118"/>
      <c r="C368" s="79"/>
      <c r="D368" s="119" t="s">
        <v>38</v>
      </c>
      <c r="E368" s="119"/>
      <c r="F368" s="119"/>
      <c r="G368" s="119"/>
      <c r="H368" s="119"/>
      <c r="I368" s="118"/>
      <c r="J368" s="118"/>
      <c r="K368" s="79"/>
      <c r="L368" s="79"/>
      <c r="M368" s="79"/>
      <c r="N368" s="79"/>
      <c r="O368" s="79"/>
      <c r="P368" s="75">
        <f>SUM(P362:P365)</f>
        <v>2682.7199999999993</v>
      </c>
      <c r="Q368" s="79"/>
      <c r="R368" s="75">
        <f>SUM(R362:R365)</f>
        <v>42062.103629999998</v>
      </c>
    </row>
    <row r="369" spans="1:18" ht="15.6" x14ac:dyDescent="0.3">
      <c r="A369" s="118"/>
      <c r="B369" s="118"/>
      <c r="C369" s="79"/>
      <c r="D369" s="119" t="s">
        <v>39</v>
      </c>
      <c r="E369" s="119"/>
      <c r="F369" s="119"/>
      <c r="G369" s="119"/>
      <c r="H369" s="119"/>
      <c r="I369" s="118"/>
      <c r="J369" s="118"/>
      <c r="K369" s="79"/>
      <c r="L369" s="79"/>
      <c r="M369" s="79"/>
      <c r="N369" s="79"/>
      <c r="O369" s="79"/>
      <c r="P369" s="75">
        <f>P362+P364</f>
        <v>250.53</v>
      </c>
      <c r="Q369" s="79"/>
      <c r="R369" s="75">
        <f>R362+R364</f>
        <v>9459.2612099999988</v>
      </c>
    </row>
    <row r="370" spans="1:18" ht="31.2" x14ac:dyDescent="0.3">
      <c r="A370" s="118"/>
      <c r="B370" s="118"/>
      <c r="C370" s="75" t="s">
        <v>40</v>
      </c>
      <c r="D370" s="119" t="s">
        <v>41</v>
      </c>
      <c r="E370" s="119"/>
      <c r="F370" s="119"/>
      <c r="G370" s="119"/>
      <c r="H370" s="119"/>
      <c r="I370" s="120" t="s">
        <v>42</v>
      </c>
      <c r="J370" s="120"/>
      <c r="K370" s="75">
        <v>109</v>
      </c>
      <c r="L370" s="79"/>
      <c r="M370" s="79"/>
      <c r="N370" s="79"/>
      <c r="O370" s="79"/>
      <c r="P370" s="75">
        <f>P369*K370/100</f>
        <v>273.07769999999999</v>
      </c>
      <c r="Q370" s="79"/>
      <c r="R370" s="75">
        <f>R369*K370/100</f>
        <v>10310.594718899998</v>
      </c>
    </row>
    <row r="371" spans="1:18" ht="31.2" x14ac:dyDescent="0.3">
      <c r="A371" s="118"/>
      <c r="B371" s="118"/>
      <c r="C371" s="75" t="s">
        <v>43</v>
      </c>
      <c r="D371" s="119" t="s">
        <v>44</v>
      </c>
      <c r="E371" s="119"/>
      <c r="F371" s="119"/>
      <c r="G371" s="119"/>
      <c r="H371" s="119"/>
      <c r="I371" s="120" t="s">
        <v>42</v>
      </c>
      <c r="J371" s="120"/>
      <c r="K371" s="75">
        <v>57</v>
      </c>
      <c r="L371" s="79"/>
      <c r="M371" s="79"/>
      <c r="N371" s="79"/>
      <c r="O371" s="79"/>
      <c r="P371" s="75">
        <f>P369*K371/100</f>
        <v>142.8021</v>
      </c>
      <c r="Q371" s="79"/>
      <c r="R371" s="75">
        <f>R369*K371/100</f>
        <v>5391.7788897</v>
      </c>
    </row>
    <row r="372" spans="1:18" ht="15.6" x14ac:dyDescent="0.3">
      <c r="A372" s="118"/>
      <c r="B372" s="118"/>
      <c r="C372" s="79"/>
      <c r="D372" s="119" t="s">
        <v>45</v>
      </c>
      <c r="E372" s="119"/>
      <c r="F372" s="119"/>
      <c r="G372" s="119"/>
      <c r="H372" s="119"/>
      <c r="I372" s="118"/>
      <c r="J372" s="118"/>
      <c r="K372" s="79"/>
      <c r="L372" s="79"/>
      <c r="M372" s="79"/>
      <c r="N372" s="79"/>
      <c r="O372" s="79"/>
      <c r="P372" s="75">
        <f>P371+P370+P368</f>
        <v>3098.5997999999995</v>
      </c>
      <c r="Q372" s="79"/>
      <c r="R372" s="75">
        <f>R371+R370+R368</f>
        <v>57764.477238599997</v>
      </c>
    </row>
    <row r="373" spans="1:18" ht="15.6" x14ac:dyDescent="0.3">
      <c r="A373" s="121" t="s">
        <v>518</v>
      </c>
      <c r="B373" s="121"/>
      <c r="C373" s="75" t="s">
        <v>121</v>
      </c>
      <c r="D373" s="120" t="s">
        <v>120</v>
      </c>
      <c r="E373" s="120"/>
      <c r="F373" s="120"/>
      <c r="G373" s="120"/>
      <c r="H373" s="120"/>
      <c r="I373" s="122" t="s">
        <v>76</v>
      </c>
      <c r="J373" s="122"/>
      <c r="K373" s="76">
        <v>1.5</v>
      </c>
      <c r="L373" s="77">
        <v>1</v>
      </c>
      <c r="M373" s="77">
        <f>K373</f>
        <v>1.5</v>
      </c>
      <c r="N373" s="78"/>
      <c r="O373" s="79"/>
      <c r="P373" s="79"/>
      <c r="Q373" s="79"/>
      <c r="R373" s="80"/>
    </row>
    <row r="374" spans="1:18" ht="15.6" x14ac:dyDescent="0.3">
      <c r="A374" s="118"/>
      <c r="B374" s="118"/>
      <c r="C374" s="81">
        <v>1</v>
      </c>
      <c r="D374" s="119" t="s">
        <v>32</v>
      </c>
      <c r="E374" s="119"/>
      <c r="F374" s="119"/>
      <c r="G374" s="119"/>
      <c r="H374" s="119"/>
      <c r="I374" s="118"/>
      <c r="J374" s="118"/>
      <c r="K374" s="79"/>
      <c r="L374" s="79"/>
      <c r="M374" s="79"/>
      <c r="N374" s="75">
        <v>433.09</v>
      </c>
      <c r="O374" s="79"/>
      <c r="P374" s="75">
        <f>M373*N374</f>
        <v>649.63499999999999</v>
      </c>
      <c r="Q374" s="75">
        <v>37.756999999999998</v>
      </c>
      <c r="R374" s="75">
        <f>P374*Q374</f>
        <v>24528.268694999999</v>
      </c>
    </row>
    <row r="375" spans="1:18" ht="15.6" x14ac:dyDescent="0.3">
      <c r="A375" s="118"/>
      <c r="B375" s="118"/>
      <c r="C375" s="81">
        <v>3</v>
      </c>
      <c r="D375" s="119" t="s">
        <v>33</v>
      </c>
      <c r="E375" s="119"/>
      <c r="F375" s="119"/>
      <c r="G375" s="119"/>
      <c r="H375" s="119"/>
      <c r="I375" s="118"/>
      <c r="J375" s="118"/>
      <c r="K375" s="79"/>
      <c r="L375" s="79"/>
      <c r="M375" s="79"/>
      <c r="N375" s="75">
        <v>132.25</v>
      </c>
      <c r="O375" s="79"/>
      <c r="P375" s="75">
        <f>N375*M373</f>
        <v>198.375</v>
      </c>
      <c r="Q375" s="82">
        <v>21.128</v>
      </c>
      <c r="R375" s="75">
        <f>P375*Q375</f>
        <v>4191.2669999999998</v>
      </c>
    </row>
    <row r="376" spans="1:18" ht="15.6" x14ac:dyDescent="0.3">
      <c r="A376" s="118"/>
      <c r="B376" s="118"/>
      <c r="C376" s="81">
        <v>2</v>
      </c>
      <c r="D376" s="119" t="s">
        <v>34</v>
      </c>
      <c r="E376" s="119"/>
      <c r="F376" s="119"/>
      <c r="G376" s="119"/>
      <c r="H376" s="119"/>
      <c r="I376" s="118"/>
      <c r="J376" s="118"/>
      <c r="K376" s="79"/>
      <c r="L376" s="79"/>
      <c r="M376" s="79"/>
      <c r="N376" s="75">
        <v>7.43</v>
      </c>
      <c r="O376" s="79"/>
      <c r="P376" s="75">
        <f>N376*M373</f>
        <v>11.145</v>
      </c>
      <c r="Q376" s="75">
        <v>37.756999999999998</v>
      </c>
      <c r="R376" s="75">
        <f>P376*Q376</f>
        <v>420.80176499999993</v>
      </c>
    </row>
    <row r="377" spans="1:18" ht="15.6" x14ac:dyDescent="0.3">
      <c r="A377" s="118"/>
      <c r="B377" s="118"/>
      <c r="C377" s="81">
        <v>4</v>
      </c>
      <c r="D377" s="119" t="s">
        <v>35</v>
      </c>
      <c r="E377" s="119"/>
      <c r="F377" s="119"/>
      <c r="G377" s="119"/>
      <c r="H377" s="119"/>
      <c r="I377" s="118"/>
      <c r="J377" s="118"/>
      <c r="K377" s="79"/>
      <c r="L377" s="79"/>
      <c r="M377" s="79"/>
      <c r="N377" s="75">
        <v>4146.24</v>
      </c>
      <c r="O377" s="79"/>
      <c r="P377" s="75">
        <f>N377*M373</f>
        <v>6219.36</v>
      </c>
      <c r="Q377" s="75">
        <v>13.002000000000001</v>
      </c>
      <c r="R377" s="75">
        <f>P377*Q377</f>
        <v>80864.118719999999</v>
      </c>
    </row>
    <row r="378" spans="1:18" ht="15.6" x14ac:dyDescent="0.3">
      <c r="A378" s="118"/>
      <c r="B378" s="118"/>
      <c r="C378" s="79"/>
      <c r="D378" s="119" t="s">
        <v>36</v>
      </c>
      <c r="E378" s="119"/>
      <c r="F378" s="119"/>
      <c r="G378" s="119"/>
      <c r="H378" s="119"/>
      <c r="I378" s="118"/>
      <c r="J378" s="118"/>
      <c r="K378" s="75">
        <v>45.54</v>
      </c>
      <c r="L378" s="79"/>
      <c r="M378" s="75">
        <f>K378*M373</f>
        <v>68.31</v>
      </c>
      <c r="N378" s="79"/>
      <c r="O378" s="79"/>
      <c r="P378" s="79"/>
      <c r="Q378" s="79"/>
      <c r="R378" s="80"/>
    </row>
    <row r="379" spans="1:18" ht="15.6" x14ac:dyDescent="0.3">
      <c r="A379" s="118"/>
      <c r="B379" s="118"/>
      <c r="C379" s="79"/>
      <c r="D379" s="119" t="s">
        <v>37</v>
      </c>
      <c r="E379" s="119"/>
      <c r="F379" s="119"/>
      <c r="G379" s="119"/>
      <c r="H379" s="119"/>
      <c r="I379" s="118"/>
      <c r="J379" s="118"/>
      <c r="K379" s="75">
        <v>0.55000000000000004</v>
      </c>
      <c r="L379" s="79"/>
      <c r="M379" s="75">
        <f>K379*M373</f>
        <v>0.82500000000000007</v>
      </c>
      <c r="N379" s="79"/>
      <c r="O379" s="79"/>
      <c r="P379" s="79"/>
      <c r="Q379" s="79"/>
      <c r="R379" s="80"/>
    </row>
    <row r="380" spans="1:18" ht="15.6" x14ac:dyDescent="0.3">
      <c r="A380" s="118"/>
      <c r="B380" s="118"/>
      <c r="C380" s="79"/>
      <c r="D380" s="119" t="s">
        <v>38</v>
      </c>
      <c r="E380" s="119"/>
      <c r="F380" s="119"/>
      <c r="G380" s="119"/>
      <c r="H380" s="119"/>
      <c r="I380" s="118"/>
      <c r="J380" s="118"/>
      <c r="K380" s="79"/>
      <c r="L380" s="79"/>
      <c r="M380" s="79"/>
      <c r="N380" s="79"/>
      <c r="O380" s="79"/>
      <c r="P380" s="75">
        <f>SUM(P374:P377)</f>
        <v>7078.5149999999994</v>
      </c>
      <c r="Q380" s="79"/>
      <c r="R380" s="75">
        <f>SUM(R374:R377)</f>
        <v>110004.45617999999</v>
      </c>
    </row>
    <row r="381" spans="1:18" ht="15.6" x14ac:dyDescent="0.3">
      <c r="A381" s="118"/>
      <c r="B381" s="118"/>
      <c r="C381" s="79"/>
      <c r="D381" s="119" t="s">
        <v>39</v>
      </c>
      <c r="E381" s="119"/>
      <c r="F381" s="119"/>
      <c r="G381" s="119"/>
      <c r="H381" s="119"/>
      <c r="I381" s="118"/>
      <c r="J381" s="118"/>
      <c r="K381" s="79"/>
      <c r="L381" s="79"/>
      <c r="M381" s="79"/>
      <c r="N381" s="79"/>
      <c r="O381" s="79"/>
      <c r="P381" s="75">
        <f>P374+P376</f>
        <v>660.78</v>
      </c>
      <c r="Q381" s="79"/>
      <c r="R381" s="75">
        <f>R374+R376</f>
        <v>24949.070459999999</v>
      </c>
    </row>
    <row r="382" spans="1:18" ht="31.2" x14ac:dyDescent="0.3">
      <c r="A382" s="118"/>
      <c r="B382" s="118"/>
      <c r="C382" s="75" t="s">
        <v>40</v>
      </c>
      <c r="D382" s="119" t="s">
        <v>41</v>
      </c>
      <c r="E382" s="119"/>
      <c r="F382" s="119"/>
      <c r="G382" s="119"/>
      <c r="H382" s="119"/>
      <c r="I382" s="120" t="s">
        <v>42</v>
      </c>
      <c r="J382" s="120"/>
      <c r="K382" s="75">
        <v>109</v>
      </c>
      <c r="L382" s="79"/>
      <c r="M382" s="79"/>
      <c r="N382" s="79"/>
      <c r="O382" s="79"/>
      <c r="P382" s="75">
        <f>P381*K382/100</f>
        <v>720.25020000000006</v>
      </c>
      <c r="Q382" s="79"/>
      <c r="R382" s="75">
        <f>R381*K382/100</f>
        <v>27194.486801399999</v>
      </c>
    </row>
    <row r="383" spans="1:18" ht="31.2" x14ac:dyDescent="0.3">
      <c r="A383" s="118"/>
      <c r="B383" s="118"/>
      <c r="C383" s="75" t="s">
        <v>43</v>
      </c>
      <c r="D383" s="119" t="s">
        <v>44</v>
      </c>
      <c r="E383" s="119"/>
      <c r="F383" s="119"/>
      <c r="G383" s="119"/>
      <c r="H383" s="119"/>
      <c r="I383" s="120" t="s">
        <v>42</v>
      </c>
      <c r="J383" s="120"/>
      <c r="K383" s="75">
        <v>57</v>
      </c>
      <c r="L383" s="79"/>
      <c r="M383" s="79"/>
      <c r="N383" s="79"/>
      <c r="O383" s="79"/>
      <c r="P383" s="75">
        <f>P381*K383/100</f>
        <v>376.64459999999997</v>
      </c>
      <c r="Q383" s="79"/>
      <c r="R383" s="75">
        <f>R381*K383/100</f>
        <v>14220.970162199999</v>
      </c>
    </row>
    <row r="384" spans="1:18" ht="15.6" x14ac:dyDescent="0.3">
      <c r="A384" s="118"/>
      <c r="B384" s="118"/>
      <c r="C384" s="79"/>
      <c r="D384" s="119" t="s">
        <v>45</v>
      </c>
      <c r="E384" s="119"/>
      <c r="F384" s="119"/>
      <c r="G384" s="119"/>
      <c r="H384" s="119"/>
      <c r="I384" s="118"/>
      <c r="J384" s="118"/>
      <c r="K384" s="79"/>
      <c r="L384" s="79"/>
      <c r="M384" s="79"/>
      <c r="N384" s="79"/>
      <c r="O384" s="79"/>
      <c r="P384" s="75">
        <f>P383+P382+P380</f>
        <v>8175.4097999999994</v>
      </c>
      <c r="Q384" s="79"/>
      <c r="R384" s="75">
        <f>R383+R382+R380</f>
        <v>151419.91314359999</v>
      </c>
    </row>
    <row r="385" spans="1:20" ht="15.6" x14ac:dyDescent="0.3">
      <c r="A385" s="121" t="s">
        <v>519</v>
      </c>
      <c r="B385" s="121"/>
      <c r="C385" s="75" t="s">
        <v>506</v>
      </c>
      <c r="D385" s="120" t="s">
        <v>505</v>
      </c>
      <c r="E385" s="120"/>
      <c r="F385" s="120"/>
      <c r="G385" s="120"/>
      <c r="H385" s="120"/>
      <c r="I385" s="122" t="s">
        <v>76</v>
      </c>
      <c r="J385" s="122"/>
      <c r="K385" s="76">
        <v>5.04</v>
      </c>
      <c r="L385" s="77">
        <v>1</v>
      </c>
      <c r="M385" s="77">
        <f>K385</f>
        <v>5.04</v>
      </c>
      <c r="N385" s="78"/>
      <c r="O385" s="79"/>
      <c r="P385" s="79"/>
      <c r="Q385" s="79"/>
      <c r="R385" s="80"/>
    </row>
    <row r="386" spans="1:20" ht="15.6" x14ac:dyDescent="0.3">
      <c r="A386" s="118"/>
      <c r="B386" s="118"/>
      <c r="C386" s="81">
        <v>1</v>
      </c>
      <c r="D386" s="119" t="s">
        <v>32</v>
      </c>
      <c r="E386" s="119"/>
      <c r="F386" s="119"/>
      <c r="G386" s="119"/>
      <c r="H386" s="119"/>
      <c r="I386" s="118"/>
      <c r="J386" s="118"/>
      <c r="K386" s="79"/>
      <c r="L386" s="79"/>
      <c r="M386" s="79"/>
      <c r="N386" s="75">
        <v>332.9</v>
      </c>
      <c r="O386" s="79"/>
      <c r="P386" s="75">
        <f>M385*N386</f>
        <v>1677.8159999999998</v>
      </c>
      <c r="Q386" s="75">
        <v>37.756999999999998</v>
      </c>
      <c r="R386" s="75">
        <f>P386*Q386</f>
        <v>63349.298711999989</v>
      </c>
    </row>
    <row r="387" spans="1:20" ht="15.6" x14ac:dyDescent="0.3">
      <c r="A387" s="118"/>
      <c r="B387" s="118"/>
      <c r="C387" s="81">
        <v>3</v>
      </c>
      <c r="D387" s="119" t="s">
        <v>33</v>
      </c>
      <c r="E387" s="119"/>
      <c r="F387" s="119"/>
      <c r="G387" s="119"/>
      <c r="H387" s="119"/>
      <c r="I387" s="118"/>
      <c r="J387" s="118"/>
      <c r="K387" s="79"/>
      <c r="L387" s="79"/>
      <c r="M387" s="79"/>
      <c r="N387" s="75">
        <v>115.24</v>
      </c>
      <c r="O387" s="79"/>
      <c r="P387" s="75">
        <f>N387*M385</f>
        <v>580.80959999999993</v>
      </c>
      <c r="Q387" s="82">
        <v>21.128</v>
      </c>
      <c r="R387" s="75">
        <f>P387*Q387</f>
        <v>12271.345228799999</v>
      </c>
      <c r="T387" s="3"/>
    </row>
    <row r="388" spans="1:20" ht="15.6" x14ac:dyDescent="0.3">
      <c r="A388" s="118"/>
      <c r="B388" s="118"/>
      <c r="C388" s="81">
        <v>2</v>
      </c>
      <c r="D388" s="119" t="s">
        <v>34</v>
      </c>
      <c r="E388" s="119"/>
      <c r="F388" s="119"/>
      <c r="G388" s="119"/>
      <c r="H388" s="119"/>
      <c r="I388" s="118"/>
      <c r="J388" s="118"/>
      <c r="K388" s="79"/>
      <c r="L388" s="79"/>
      <c r="M388" s="79"/>
      <c r="N388" s="75">
        <v>10.67</v>
      </c>
      <c r="O388" s="79"/>
      <c r="P388" s="75">
        <f>N388*M385</f>
        <v>53.776800000000001</v>
      </c>
      <c r="Q388" s="75">
        <v>37.756999999999998</v>
      </c>
      <c r="R388" s="75">
        <f>P388*Q388</f>
        <v>2030.4506375999999</v>
      </c>
    </row>
    <row r="389" spans="1:20" ht="15.6" x14ac:dyDescent="0.3">
      <c r="A389" s="118"/>
      <c r="B389" s="118"/>
      <c r="C389" s="81">
        <v>4</v>
      </c>
      <c r="D389" s="119" t="s">
        <v>35</v>
      </c>
      <c r="E389" s="119"/>
      <c r="F389" s="119"/>
      <c r="G389" s="119"/>
      <c r="H389" s="119"/>
      <c r="I389" s="118"/>
      <c r="J389" s="118"/>
      <c r="K389" s="79"/>
      <c r="L389" s="79"/>
      <c r="M389" s="79"/>
      <c r="N389" s="75">
        <v>9149.44</v>
      </c>
      <c r="O389" s="79"/>
      <c r="P389" s="75">
        <f>N389*M385</f>
        <v>46113.177600000003</v>
      </c>
      <c r="Q389" s="75">
        <v>13.002000000000001</v>
      </c>
      <c r="R389" s="75">
        <f>P389*Q389</f>
        <v>599563.53515520005</v>
      </c>
    </row>
    <row r="390" spans="1:20" ht="15.6" x14ac:dyDescent="0.3">
      <c r="A390" s="118"/>
      <c r="B390" s="118"/>
      <c r="C390" s="79"/>
      <c r="D390" s="119" t="s">
        <v>36</v>
      </c>
      <c r="E390" s="119"/>
      <c r="F390" s="119"/>
      <c r="G390" s="119"/>
      <c r="H390" s="119"/>
      <c r="I390" s="118"/>
      <c r="J390" s="118"/>
      <c r="K390" s="75">
        <v>38.53</v>
      </c>
      <c r="L390" s="79"/>
      <c r="M390" s="75">
        <f>K390*M385</f>
        <v>194.19120000000001</v>
      </c>
      <c r="N390" s="79"/>
      <c r="O390" s="79"/>
      <c r="P390" s="79"/>
      <c r="Q390" s="79"/>
      <c r="R390" s="80"/>
    </row>
    <row r="391" spans="1:20" ht="15.6" x14ac:dyDescent="0.3">
      <c r="A391" s="118"/>
      <c r="B391" s="118"/>
      <c r="C391" s="79"/>
      <c r="D391" s="119" t="s">
        <v>37</v>
      </c>
      <c r="E391" s="119"/>
      <c r="F391" s="119"/>
      <c r="G391" s="119"/>
      <c r="H391" s="119"/>
      <c r="I391" s="118"/>
      <c r="J391" s="118"/>
      <c r="K391" s="75">
        <v>0.79</v>
      </c>
      <c r="L391" s="79"/>
      <c r="M391" s="75">
        <f>K391*M385</f>
        <v>3.9816000000000003</v>
      </c>
      <c r="N391" s="79"/>
      <c r="O391" s="79"/>
      <c r="P391" s="79"/>
      <c r="Q391" s="79"/>
      <c r="R391" s="80"/>
    </row>
    <row r="392" spans="1:20" ht="15.6" x14ac:dyDescent="0.3">
      <c r="A392" s="118"/>
      <c r="B392" s="118"/>
      <c r="C392" s="79"/>
      <c r="D392" s="119" t="s">
        <v>38</v>
      </c>
      <c r="E392" s="119"/>
      <c r="F392" s="119"/>
      <c r="G392" s="119"/>
      <c r="H392" s="119"/>
      <c r="I392" s="118"/>
      <c r="J392" s="118"/>
      <c r="K392" s="79"/>
      <c r="L392" s="79"/>
      <c r="M392" s="79"/>
      <c r="N392" s="79"/>
      <c r="O392" s="79"/>
      <c r="P392" s="75">
        <f>SUM(P386:P389)</f>
        <v>48425.58</v>
      </c>
      <c r="Q392" s="79"/>
      <c r="R392" s="75">
        <f>SUM(R386:R389)</f>
        <v>677214.62973360007</v>
      </c>
    </row>
    <row r="393" spans="1:20" ht="15.6" x14ac:dyDescent="0.3">
      <c r="A393" s="118"/>
      <c r="B393" s="118"/>
      <c r="C393" s="79"/>
      <c r="D393" s="119" t="s">
        <v>39</v>
      </c>
      <c r="E393" s="119"/>
      <c r="F393" s="119"/>
      <c r="G393" s="119"/>
      <c r="H393" s="119"/>
      <c r="I393" s="118"/>
      <c r="J393" s="118"/>
      <c r="K393" s="79"/>
      <c r="L393" s="79"/>
      <c r="M393" s="79"/>
      <c r="N393" s="79"/>
      <c r="O393" s="79"/>
      <c r="P393" s="75">
        <f>P386+P388</f>
        <v>1731.5927999999999</v>
      </c>
      <c r="Q393" s="79"/>
      <c r="R393" s="75">
        <f>R386+R388</f>
        <v>65379.749349599988</v>
      </c>
    </row>
    <row r="394" spans="1:20" ht="31.2" x14ac:dyDescent="0.3">
      <c r="A394" s="118"/>
      <c r="B394" s="118"/>
      <c r="C394" s="75" t="s">
        <v>40</v>
      </c>
      <c r="D394" s="119" t="s">
        <v>41</v>
      </c>
      <c r="E394" s="119"/>
      <c r="F394" s="119"/>
      <c r="G394" s="119"/>
      <c r="H394" s="119"/>
      <c r="I394" s="120" t="s">
        <v>42</v>
      </c>
      <c r="J394" s="120"/>
      <c r="K394" s="75">
        <v>109</v>
      </c>
      <c r="L394" s="79"/>
      <c r="M394" s="79"/>
      <c r="N394" s="79"/>
      <c r="O394" s="79"/>
      <c r="P394" s="75">
        <f>P393*K394/100</f>
        <v>1887.436152</v>
      </c>
      <c r="Q394" s="79"/>
      <c r="R394" s="75">
        <f>R393*K394/100</f>
        <v>71263.92679106399</v>
      </c>
    </row>
    <row r="395" spans="1:20" ht="31.2" x14ac:dyDescent="0.3">
      <c r="A395" s="118"/>
      <c r="B395" s="118"/>
      <c r="C395" s="75" t="s">
        <v>43</v>
      </c>
      <c r="D395" s="119" t="s">
        <v>44</v>
      </c>
      <c r="E395" s="119"/>
      <c r="F395" s="119"/>
      <c r="G395" s="119"/>
      <c r="H395" s="119"/>
      <c r="I395" s="120" t="s">
        <v>42</v>
      </c>
      <c r="J395" s="120"/>
      <c r="K395" s="75">
        <v>57</v>
      </c>
      <c r="L395" s="79"/>
      <c r="M395" s="79"/>
      <c r="N395" s="79"/>
      <c r="O395" s="79"/>
      <c r="P395" s="75">
        <f>P393*K395/100</f>
        <v>987.00789599999985</v>
      </c>
      <c r="Q395" s="79"/>
      <c r="R395" s="75">
        <f>R393*K395/100</f>
        <v>37266.457129271992</v>
      </c>
    </row>
    <row r="396" spans="1:20" ht="15.6" x14ac:dyDescent="0.3">
      <c r="A396" s="120"/>
      <c r="B396" s="120"/>
      <c r="C396" s="85" t="s">
        <v>509</v>
      </c>
      <c r="D396" s="133" t="s">
        <v>507</v>
      </c>
      <c r="E396" s="133"/>
      <c r="F396" s="133"/>
      <c r="G396" s="133"/>
      <c r="H396" s="133"/>
      <c r="I396" s="120" t="s">
        <v>508</v>
      </c>
      <c r="J396" s="120"/>
      <c r="K396" s="80">
        <v>53</v>
      </c>
      <c r="L396" s="80"/>
      <c r="M396" s="80"/>
      <c r="N396" s="80">
        <v>116</v>
      </c>
      <c r="O396" s="80"/>
      <c r="P396" s="80">
        <f>K396*N396</f>
        <v>6148</v>
      </c>
      <c r="Q396" s="80">
        <v>13.002000000000001</v>
      </c>
      <c r="R396" s="80">
        <f>P396*Q396</f>
        <v>79936.296000000002</v>
      </c>
    </row>
    <row r="397" spans="1:20" ht="15.6" x14ac:dyDescent="0.3">
      <c r="A397" s="118"/>
      <c r="B397" s="118"/>
      <c r="C397" s="79"/>
      <c r="D397" s="119" t="s">
        <v>45</v>
      </c>
      <c r="E397" s="119"/>
      <c r="F397" s="119"/>
      <c r="G397" s="119"/>
      <c r="H397" s="119"/>
      <c r="I397" s="118"/>
      <c r="J397" s="118"/>
      <c r="K397" s="79"/>
      <c r="L397" s="79"/>
      <c r="M397" s="79"/>
      <c r="N397" s="79"/>
      <c r="O397" s="79"/>
      <c r="P397" s="75">
        <f>P395+P394+P392</f>
        <v>51300.024047999999</v>
      </c>
      <c r="Q397" s="79"/>
      <c r="R397" s="75">
        <f>R395+R394+R392+R396</f>
        <v>865681.30965393607</v>
      </c>
    </row>
    <row r="398" spans="1:20" ht="15.6" x14ac:dyDescent="0.3">
      <c r="A398" s="121" t="s">
        <v>520</v>
      </c>
      <c r="B398" s="121"/>
      <c r="C398" s="75" t="s">
        <v>510</v>
      </c>
      <c r="D398" s="120" t="s">
        <v>511</v>
      </c>
      <c r="E398" s="120"/>
      <c r="F398" s="120"/>
      <c r="G398" s="120"/>
      <c r="H398" s="120"/>
      <c r="I398" s="122" t="s">
        <v>107</v>
      </c>
      <c r="J398" s="122"/>
      <c r="K398" s="76">
        <v>5.54</v>
      </c>
      <c r="L398" s="77">
        <v>1</v>
      </c>
      <c r="M398" s="77">
        <f>K398</f>
        <v>5.54</v>
      </c>
      <c r="N398" s="78"/>
      <c r="O398" s="79"/>
      <c r="P398" s="79"/>
      <c r="Q398" s="79"/>
      <c r="R398" s="80"/>
    </row>
    <row r="399" spans="1:20" ht="15.6" x14ac:dyDescent="0.3">
      <c r="A399" s="118"/>
      <c r="B399" s="118"/>
      <c r="C399" s="81">
        <v>1</v>
      </c>
      <c r="D399" s="119" t="s">
        <v>32</v>
      </c>
      <c r="E399" s="119"/>
      <c r="F399" s="119"/>
      <c r="G399" s="119"/>
      <c r="H399" s="119"/>
      <c r="I399" s="118"/>
      <c r="J399" s="118"/>
      <c r="K399" s="79"/>
      <c r="L399" s="79"/>
      <c r="M399" s="79"/>
      <c r="N399" s="75">
        <v>39.25</v>
      </c>
      <c r="O399" s="79"/>
      <c r="P399" s="75">
        <f>M398*N399</f>
        <v>217.44499999999999</v>
      </c>
      <c r="Q399" s="75">
        <v>37.756999999999998</v>
      </c>
      <c r="R399" s="75">
        <f>P399*Q399</f>
        <v>8210.0708649999997</v>
      </c>
    </row>
    <row r="400" spans="1:20" ht="15.6" x14ac:dyDescent="0.3">
      <c r="A400" s="118"/>
      <c r="B400" s="118"/>
      <c r="C400" s="81">
        <v>3</v>
      </c>
      <c r="D400" s="119" t="s">
        <v>33</v>
      </c>
      <c r="E400" s="119"/>
      <c r="F400" s="119"/>
      <c r="G400" s="119"/>
      <c r="H400" s="119"/>
      <c r="I400" s="118"/>
      <c r="J400" s="118"/>
      <c r="K400" s="79"/>
      <c r="L400" s="79"/>
      <c r="M400" s="79"/>
      <c r="N400" s="75">
        <v>5.23</v>
      </c>
      <c r="O400" s="79"/>
      <c r="P400" s="75">
        <f>N400*M398</f>
        <v>28.974200000000003</v>
      </c>
      <c r="Q400" s="82">
        <v>21.128</v>
      </c>
      <c r="R400" s="75">
        <f>P400*Q400</f>
        <v>612.16689760000008</v>
      </c>
    </row>
    <row r="401" spans="1:18" ht="15.6" x14ac:dyDescent="0.3">
      <c r="A401" s="118"/>
      <c r="B401" s="118"/>
      <c r="C401" s="81">
        <v>2</v>
      </c>
      <c r="D401" s="119" t="s">
        <v>34</v>
      </c>
      <c r="E401" s="119"/>
      <c r="F401" s="119"/>
      <c r="G401" s="119"/>
      <c r="H401" s="119"/>
      <c r="I401" s="118"/>
      <c r="J401" s="118"/>
      <c r="K401" s="79"/>
      <c r="L401" s="79"/>
      <c r="M401" s="79"/>
      <c r="N401" s="75">
        <v>0</v>
      </c>
      <c r="O401" s="79"/>
      <c r="P401" s="75">
        <f>N401*M398</f>
        <v>0</v>
      </c>
      <c r="Q401" s="75">
        <v>37.756999999999998</v>
      </c>
      <c r="R401" s="75">
        <f>P401*Q401</f>
        <v>0</v>
      </c>
    </row>
    <row r="402" spans="1:18" ht="15.6" x14ac:dyDescent="0.3">
      <c r="A402" s="118"/>
      <c r="B402" s="118"/>
      <c r="C402" s="81">
        <v>4</v>
      </c>
      <c r="D402" s="119" t="s">
        <v>35</v>
      </c>
      <c r="E402" s="119"/>
      <c r="F402" s="119"/>
      <c r="G402" s="119"/>
      <c r="H402" s="119"/>
      <c r="I402" s="118"/>
      <c r="J402" s="118"/>
      <c r="K402" s="79"/>
      <c r="L402" s="79"/>
      <c r="M402" s="79"/>
      <c r="N402" s="75">
        <v>398.29</v>
      </c>
      <c r="O402" s="79"/>
      <c r="P402" s="75">
        <f>N402*M398</f>
        <v>2206.5266000000001</v>
      </c>
      <c r="Q402" s="75">
        <v>13.002000000000001</v>
      </c>
      <c r="R402" s="75">
        <f>P402*Q402</f>
        <v>28689.258853200005</v>
      </c>
    </row>
    <row r="403" spans="1:18" ht="15.6" x14ac:dyDescent="0.3">
      <c r="A403" s="118"/>
      <c r="B403" s="118"/>
      <c r="C403" s="79"/>
      <c r="D403" s="119" t="s">
        <v>36</v>
      </c>
      <c r="E403" s="119"/>
      <c r="F403" s="119"/>
      <c r="G403" s="119"/>
      <c r="H403" s="119"/>
      <c r="I403" s="118"/>
      <c r="J403" s="118"/>
      <c r="K403" s="75">
        <v>4.08</v>
      </c>
      <c r="L403" s="79"/>
      <c r="M403" s="75">
        <f>K403*M398</f>
        <v>22.603200000000001</v>
      </c>
      <c r="N403" s="79"/>
      <c r="O403" s="79"/>
      <c r="P403" s="79"/>
      <c r="Q403" s="79"/>
      <c r="R403" s="80"/>
    </row>
    <row r="404" spans="1:18" ht="15.6" x14ac:dyDescent="0.3">
      <c r="A404" s="118"/>
      <c r="B404" s="118"/>
      <c r="C404" s="79"/>
      <c r="D404" s="119" t="s">
        <v>37</v>
      </c>
      <c r="E404" s="119"/>
      <c r="F404" s="119"/>
      <c r="G404" s="119"/>
      <c r="H404" s="119"/>
      <c r="I404" s="118"/>
      <c r="J404" s="118"/>
      <c r="K404" s="75">
        <v>0</v>
      </c>
      <c r="L404" s="79"/>
      <c r="M404" s="75">
        <f>K404*M398</f>
        <v>0</v>
      </c>
      <c r="N404" s="79"/>
      <c r="O404" s="79"/>
      <c r="P404" s="79"/>
      <c r="Q404" s="79"/>
      <c r="R404" s="80"/>
    </row>
    <row r="405" spans="1:18" ht="15.6" x14ac:dyDescent="0.3">
      <c r="A405" s="118"/>
      <c r="B405" s="118"/>
      <c r="C405" s="79"/>
      <c r="D405" s="119" t="s">
        <v>38</v>
      </c>
      <c r="E405" s="119"/>
      <c r="F405" s="119"/>
      <c r="G405" s="119"/>
      <c r="H405" s="119"/>
      <c r="I405" s="118"/>
      <c r="J405" s="118"/>
      <c r="K405" s="79"/>
      <c r="L405" s="79"/>
      <c r="M405" s="79"/>
      <c r="N405" s="79"/>
      <c r="O405" s="79"/>
      <c r="P405" s="75">
        <f>SUM(P399:P402)</f>
        <v>2452.9458</v>
      </c>
      <c r="Q405" s="79"/>
      <c r="R405" s="75">
        <f>SUM(R399:R402)</f>
        <v>37511.496615800002</v>
      </c>
    </row>
    <row r="406" spans="1:18" ht="15.6" x14ac:dyDescent="0.3">
      <c r="A406" s="118"/>
      <c r="B406" s="118"/>
      <c r="C406" s="79"/>
      <c r="D406" s="119" t="s">
        <v>39</v>
      </c>
      <c r="E406" s="119"/>
      <c r="F406" s="119"/>
      <c r="G406" s="119"/>
      <c r="H406" s="119"/>
      <c r="I406" s="118"/>
      <c r="J406" s="118"/>
      <c r="K406" s="79"/>
      <c r="L406" s="79"/>
      <c r="M406" s="79"/>
      <c r="N406" s="79"/>
      <c r="O406" s="79"/>
      <c r="P406" s="75">
        <f>P399+P401</f>
        <v>217.44499999999999</v>
      </c>
      <c r="Q406" s="79"/>
      <c r="R406" s="75">
        <f>R399+R401</f>
        <v>8210.0708649999997</v>
      </c>
    </row>
    <row r="407" spans="1:18" ht="31.2" x14ac:dyDescent="0.3">
      <c r="A407" s="118"/>
      <c r="B407" s="118"/>
      <c r="C407" s="75" t="s">
        <v>40</v>
      </c>
      <c r="D407" s="119" t="s">
        <v>41</v>
      </c>
      <c r="E407" s="119"/>
      <c r="F407" s="119"/>
      <c r="G407" s="119"/>
      <c r="H407" s="119"/>
      <c r="I407" s="120" t="s">
        <v>42</v>
      </c>
      <c r="J407" s="120"/>
      <c r="K407" s="75">
        <v>108</v>
      </c>
      <c r="L407" s="79"/>
      <c r="M407" s="79"/>
      <c r="N407" s="79"/>
      <c r="O407" s="79"/>
      <c r="P407" s="75">
        <f>P406*K407/100</f>
        <v>234.84059999999997</v>
      </c>
      <c r="Q407" s="79"/>
      <c r="R407" s="75">
        <f>R406*K407/100</f>
        <v>8866.8765342000006</v>
      </c>
    </row>
    <row r="408" spans="1:18" ht="31.2" x14ac:dyDescent="0.3">
      <c r="A408" s="118"/>
      <c r="B408" s="118"/>
      <c r="C408" s="75" t="s">
        <v>43</v>
      </c>
      <c r="D408" s="119" t="s">
        <v>44</v>
      </c>
      <c r="E408" s="119"/>
      <c r="F408" s="119"/>
      <c r="G408" s="119"/>
      <c r="H408" s="119"/>
      <c r="I408" s="120" t="s">
        <v>42</v>
      </c>
      <c r="J408" s="120"/>
      <c r="K408" s="75">
        <v>55</v>
      </c>
      <c r="L408" s="79"/>
      <c r="M408" s="79"/>
      <c r="N408" s="79"/>
      <c r="O408" s="79"/>
      <c r="P408" s="75">
        <f>P406*K408/100</f>
        <v>119.59475</v>
      </c>
      <c r="Q408" s="79"/>
      <c r="R408" s="75">
        <f>R406*K408/100</f>
        <v>4515.5389757499997</v>
      </c>
    </row>
    <row r="409" spans="1:18" ht="15.6" x14ac:dyDescent="0.3">
      <c r="A409" s="118"/>
      <c r="B409" s="118"/>
      <c r="C409" s="79"/>
      <c r="D409" s="119" t="s">
        <v>45</v>
      </c>
      <c r="E409" s="119"/>
      <c r="F409" s="119"/>
      <c r="G409" s="119"/>
      <c r="H409" s="119"/>
      <c r="I409" s="118"/>
      <c r="J409" s="118"/>
      <c r="K409" s="79"/>
      <c r="L409" s="79"/>
      <c r="M409" s="79"/>
      <c r="N409" s="79"/>
      <c r="O409" s="79"/>
      <c r="P409" s="75">
        <f>P408+P407+P405</f>
        <v>2807.3811500000002</v>
      </c>
      <c r="Q409" s="79"/>
      <c r="R409" s="75">
        <f>R408+R407+R405</f>
        <v>50893.912125750001</v>
      </c>
    </row>
    <row r="410" spans="1:18" ht="15.6" x14ac:dyDescent="0.3">
      <c r="A410" s="121" t="s">
        <v>115</v>
      </c>
      <c r="B410" s="121"/>
      <c r="C410" s="75" t="s">
        <v>512</v>
      </c>
      <c r="D410" s="120" t="s">
        <v>513</v>
      </c>
      <c r="E410" s="120"/>
      <c r="F410" s="120"/>
      <c r="G410" s="120"/>
      <c r="H410" s="120"/>
      <c r="I410" s="122" t="s">
        <v>107</v>
      </c>
      <c r="J410" s="122"/>
      <c r="K410" s="76">
        <v>34.15</v>
      </c>
      <c r="L410" s="77">
        <v>1</v>
      </c>
      <c r="M410" s="77">
        <f>K410</f>
        <v>34.15</v>
      </c>
      <c r="N410" s="78"/>
      <c r="O410" s="79"/>
      <c r="P410" s="79"/>
      <c r="Q410" s="79"/>
      <c r="R410" s="80"/>
    </row>
    <row r="411" spans="1:18" ht="15.6" x14ac:dyDescent="0.3">
      <c r="A411" s="118"/>
      <c r="B411" s="118"/>
      <c r="C411" s="81">
        <v>1</v>
      </c>
      <c r="D411" s="119" t="s">
        <v>32</v>
      </c>
      <c r="E411" s="119"/>
      <c r="F411" s="119"/>
      <c r="G411" s="119"/>
      <c r="H411" s="119"/>
      <c r="I411" s="118"/>
      <c r="J411" s="118"/>
      <c r="K411" s="79"/>
      <c r="L411" s="79"/>
      <c r="M411" s="79"/>
      <c r="N411" s="75">
        <v>13.64</v>
      </c>
      <c r="O411" s="79"/>
      <c r="P411" s="75">
        <f>M410*N411</f>
        <v>465.80599999999998</v>
      </c>
      <c r="Q411" s="75">
        <v>37.756999999999998</v>
      </c>
      <c r="R411" s="75">
        <f>P411*Q411</f>
        <v>17587.437141999999</v>
      </c>
    </row>
    <row r="412" spans="1:18" s="61" customFormat="1" ht="15.6" x14ac:dyDescent="0.3">
      <c r="A412" s="118"/>
      <c r="B412" s="118"/>
      <c r="C412" s="81">
        <v>3</v>
      </c>
      <c r="D412" s="119" t="s">
        <v>33</v>
      </c>
      <c r="E412" s="119"/>
      <c r="F412" s="119"/>
      <c r="G412" s="119"/>
      <c r="H412" s="119"/>
      <c r="I412" s="118"/>
      <c r="J412" s="118"/>
      <c r="K412" s="79"/>
      <c r="L412" s="79"/>
      <c r="M412" s="79"/>
      <c r="N412" s="75">
        <v>7.72</v>
      </c>
      <c r="O412" s="79"/>
      <c r="P412" s="75">
        <f>N412*M410</f>
        <v>263.63799999999998</v>
      </c>
      <c r="Q412" s="82">
        <v>21.128</v>
      </c>
      <c r="R412" s="75">
        <f>P412*Q412</f>
        <v>5570.1436639999993</v>
      </c>
    </row>
    <row r="413" spans="1:18" ht="15.6" x14ac:dyDescent="0.3">
      <c r="A413" s="118"/>
      <c r="B413" s="118"/>
      <c r="C413" s="81">
        <v>2</v>
      </c>
      <c r="D413" s="119" t="s">
        <v>34</v>
      </c>
      <c r="E413" s="119"/>
      <c r="F413" s="119"/>
      <c r="G413" s="119"/>
      <c r="H413" s="119"/>
      <c r="I413" s="118"/>
      <c r="J413" s="118"/>
      <c r="K413" s="79"/>
      <c r="L413" s="79"/>
      <c r="M413" s="79"/>
      <c r="N413" s="75">
        <v>0.41</v>
      </c>
      <c r="O413" s="79"/>
      <c r="P413" s="75">
        <f>N413*M410</f>
        <v>14.001499999999998</v>
      </c>
      <c r="Q413" s="75">
        <v>37.756999999999998</v>
      </c>
      <c r="R413" s="75">
        <f>P413*Q413</f>
        <v>528.65463549999993</v>
      </c>
    </row>
    <row r="414" spans="1:18" ht="15.6" x14ac:dyDescent="0.3">
      <c r="A414" s="118"/>
      <c r="B414" s="118"/>
      <c r="C414" s="81">
        <v>4</v>
      </c>
      <c r="D414" s="119" t="s">
        <v>35</v>
      </c>
      <c r="E414" s="119"/>
      <c r="F414" s="119"/>
      <c r="G414" s="119"/>
      <c r="H414" s="119"/>
      <c r="I414" s="118"/>
      <c r="J414" s="118"/>
      <c r="K414" s="79"/>
      <c r="L414" s="79"/>
      <c r="M414" s="79"/>
      <c r="N414" s="75">
        <v>63.91</v>
      </c>
      <c r="O414" s="79"/>
      <c r="P414" s="75">
        <f>N414*M410</f>
        <v>2182.5264999999999</v>
      </c>
      <c r="Q414" s="75">
        <v>13.002000000000001</v>
      </c>
      <c r="R414" s="75">
        <f>P414*Q414</f>
        <v>28377.209553000001</v>
      </c>
    </row>
    <row r="415" spans="1:18" ht="15.6" x14ac:dyDescent="0.3">
      <c r="A415" s="118"/>
      <c r="B415" s="118"/>
      <c r="C415" s="79"/>
      <c r="D415" s="119" t="s">
        <v>36</v>
      </c>
      <c r="E415" s="119"/>
      <c r="F415" s="119"/>
      <c r="G415" s="119"/>
      <c r="H415" s="119"/>
      <c r="I415" s="118"/>
      <c r="J415" s="118"/>
      <c r="K415" s="75">
        <v>1.67</v>
      </c>
      <c r="L415" s="79"/>
      <c r="M415" s="75">
        <f>K415*M410</f>
        <v>57.030499999999996</v>
      </c>
      <c r="N415" s="79"/>
      <c r="O415" s="79"/>
      <c r="P415" s="79"/>
      <c r="Q415" s="79"/>
      <c r="R415" s="80"/>
    </row>
    <row r="416" spans="1:18" ht="15.6" x14ac:dyDescent="0.3">
      <c r="A416" s="118"/>
      <c r="B416" s="118"/>
      <c r="C416" s="79"/>
      <c r="D416" s="119" t="s">
        <v>37</v>
      </c>
      <c r="E416" s="119"/>
      <c r="F416" s="119"/>
      <c r="G416" s="119"/>
      <c r="H416" s="119"/>
      <c r="I416" s="118"/>
      <c r="J416" s="118"/>
      <c r="K416" s="75">
        <v>0.03</v>
      </c>
      <c r="L416" s="79"/>
      <c r="M416" s="75">
        <f>K416*M410</f>
        <v>1.0245</v>
      </c>
      <c r="N416" s="79"/>
      <c r="O416" s="79"/>
      <c r="P416" s="79"/>
      <c r="Q416" s="79"/>
      <c r="R416" s="80"/>
    </row>
    <row r="417" spans="1:18" ht="15.6" x14ac:dyDescent="0.3">
      <c r="A417" s="118"/>
      <c r="B417" s="118"/>
      <c r="C417" s="79"/>
      <c r="D417" s="119" t="s">
        <v>38</v>
      </c>
      <c r="E417" s="119"/>
      <c r="F417" s="119"/>
      <c r="G417" s="119"/>
      <c r="H417" s="119"/>
      <c r="I417" s="118"/>
      <c r="J417" s="118"/>
      <c r="K417" s="79"/>
      <c r="L417" s="79"/>
      <c r="M417" s="79"/>
      <c r="N417" s="79"/>
      <c r="O417" s="79"/>
      <c r="P417" s="75">
        <f>SUM(P411:P414)</f>
        <v>2925.9719999999998</v>
      </c>
      <c r="Q417" s="79"/>
      <c r="R417" s="75">
        <f>SUM(R411:R414)</f>
        <v>52063.444994499994</v>
      </c>
    </row>
    <row r="418" spans="1:18" ht="15.6" x14ac:dyDescent="0.3">
      <c r="A418" s="118"/>
      <c r="B418" s="118"/>
      <c r="C418" s="79"/>
      <c r="D418" s="119" t="s">
        <v>39</v>
      </c>
      <c r="E418" s="119"/>
      <c r="F418" s="119"/>
      <c r="G418" s="119"/>
      <c r="H418" s="119"/>
      <c r="I418" s="118"/>
      <c r="J418" s="118"/>
      <c r="K418" s="79"/>
      <c r="L418" s="79"/>
      <c r="M418" s="79"/>
      <c r="N418" s="79"/>
      <c r="O418" s="79"/>
      <c r="P418" s="75">
        <f>P411+P413</f>
        <v>479.8075</v>
      </c>
      <c r="Q418" s="79"/>
      <c r="R418" s="75">
        <f>R411+R413</f>
        <v>18116.091777499998</v>
      </c>
    </row>
    <row r="419" spans="1:18" ht="31.2" x14ac:dyDescent="0.3">
      <c r="A419" s="118"/>
      <c r="B419" s="118"/>
      <c r="C419" s="75" t="s">
        <v>40</v>
      </c>
      <c r="D419" s="119" t="s">
        <v>41</v>
      </c>
      <c r="E419" s="119"/>
      <c r="F419" s="119"/>
      <c r="G419" s="119"/>
      <c r="H419" s="119"/>
      <c r="I419" s="120" t="s">
        <v>42</v>
      </c>
      <c r="J419" s="120"/>
      <c r="K419" s="75">
        <v>110</v>
      </c>
      <c r="L419" s="79"/>
      <c r="M419" s="79"/>
      <c r="N419" s="79"/>
      <c r="O419" s="79"/>
      <c r="P419" s="75">
        <f>P418*K419/100</f>
        <v>527.78824999999995</v>
      </c>
      <c r="Q419" s="79"/>
      <c r="R419" s="75">
        <f>R418*K419/100</f>
        <v>19927.700955249999</v>
      </c>
    </row>
    <row r="420" spans="1:18" ht="31.2" x14ac:dyDescent="0.3">
      <c r="A420" s="118"/>
      <c r="B420" s="118"/>
      <c r="C420" s="75" t="s">
        <v>43</v>
      </c>
      <c r="D420" s="119" t="s">
        <v>44</v>
      </c>
      <c r="E420" s="119"/>
      <c r="F420" s="119"/>
      <c r="G420" s="119"/>
      <c r="H420" s="119"/>
      <c r="I420" s="120" t="s">
        <v>42</v>
      </c>
      <c r="J420" s="120"/>
      <c r="K420" s="75">
        <v>69</v>
      </c>
      <c r="L420" s="79"/>
      <c r="M420" s="79"/>
      <c r="N420" s="79"/>
      <c r="O420" s="79"/>
      <c r="P420" s="75">
        <f>P418*K420/100</f>
        <v>331.06717499999996</v>
      </c>
      <c r="Q420" s="79"/>
      <c r="R420" s="75">
        <f>R418*K420/100</f>
        <v>12500.103326474999</v>
      </c>
    </row>
    <row r="421" spans="1:18" ht="15.6" x14ac:dyDescent="0.3">
      <c r="A421" s="118"/>
      <c r="B421" s="118"/>
      <c r="C421" s="79"/>
      <c r="D421" s="119" t="s">
        <v>45</v>
      </c>
      <c r="E421" s="119"/>
      <c r="F421" s="119"/>
      <c r="G421" s="119"/>
      <c r="H421" s="119"/>
      <c r="I421" s="118"/>
      <c r="J421" s="118"/>
      <c r="K421" s="79"/>
      <c r="L421" s="79"/>
      <c r="M421" s="79"/>
      <c r="N421" s="79"/>
      <c r="O421" s="79"/>
      <c r="P421" s="75">
        <f>P420+P419+P417</f>
        <v>3784.8274249999995</v>
      </c>
      <c r="Q421" s="79"/>
      <c r="R421" s="75">
        <f>R420+R419+R417</f>
        <v>84491.249276224989</v>
      </c>
    </row>
    <row r="422" spans="1:18" ht="15.6" x14ac:dyDescent="0.3">
      <c r="A422" s="121" t="s">
        <v>116</v>
      </c>
      <c r="B422" s="121"/>
      <c r="C422" s="75" t="s">
        <v>653</v>
      </c>
      <c r="D422" s="120" t="s">
        <v>106</v>
      </c>
      <c r="E422" s="120"/>
      <c r="F422" s="120"/>
      <c r="G422" s="120"/>
      <c r="H422" s="120"/>
      <c r="I422" s="122" t="s">
        <v>107</v>
      </c>
      <c r="J422" s="122"/>
      <c r="K422" s="76">
        <v>34.15</v>
      </c>
      <c r="L422" s="77">
        <v>1</v>
      </c>
      <c r="M422" s="77">
        <f>K422</f>
        <v>34.15</v>
      </c>
      <c r="N422" s="78"/>
      <c r="O422" s="79"/>
      <c r="P422" s="79"/>
      <c r="Q422" s="79"/>
      <c r="R422" s="80"/>
    </row>
    <row r="423" spans="1:18" ht="15.6" x14ac:dyDescent="0.3">
      <c r="A423" s="118"/>
      <c r="B423" s="118"/>
      <c r="C423" s="81">
        <v>1</v>
      </c>
      <c r="D423" s="119" t="s">
        <v>32</v>
      </c>
      <c r="E423" s="119"/>
      <c r="F423" s="119"/>
      <c r="G423" s="119"/>
      <c r="H423" s="119"/>
      <c r="I423" s="118"/>
      <c r="J423" s="118"/>
      <c r="K423" s="79"/>
      <c r="L423" s="79"/>
      <c r="M423" s="79"/>
      <c r="N423" s="75">
        <v>44.44</v>
      </c>
      <c r="O423" s="79"/>
      <c r="P423" s="75">
        <f>M422*N423</f>
        <v>1517.6259999999997</v>
      </c>
      <c r="Q423" s="75">
        <v>37.756999999999998</v>
      </c>
      <c r="R423" s="75">
        <f>P423*Q423</f>
        <v>57301.004881999987</v>
      </c>
    </row>
    <row r="424" spans="1:18" ht="15.6" x14ac:dyDescent="0.3">
      <c r="A424" s="118"/>
      <c r="B424" s="118"/>
      <c r="C424" s="81">
        <v>3</v>
      </c>
      <c r="D424" s="119" t="s">
        <v>33</v>
      </c>
      <c r="E424" s="119"/>
      <c r="F424" s="119"/>
      <c r="G424" s="119"/>
      <c r="H424" s="119"/>
      <c r="I424" s="118"/>
      <c r="J424" s="118"/>
      <c r="K424" s="79"/>
      <c r="L424" s="79"/>
      <c r="M424" s="79"/>
      <c r="N424" s="75">
        <v>1.74</v>
      </c>
      <c r="O424" s="79"/>
      <c r="P424" s="75">
        <f>N424*M422</f>
        <v>59.420999999999999</v>
      </c>
      <c r="Q424" s="82">
        <v>21.128</v>
      </c>
      <c r="R424" s="75">
        <f>P424*Q424</f>
        <v>1255.4468879999999</v>
      </c>
    </row>
    <row r="425" spans="1:18" ht="15.6" x14ac:dyDescent="0.3">
      <c r="A425" s="118"/>
      <c r="B425" s="118"/>
      <c r="C425" s="81">
        <v>2</v>
      </c>
      <c r="D425" s="119" t="s">
        <v>34</v>
      </c>
      <c r="E425" s="119"/>
      <c r="F425" s="119"/>
      <c r="G425" s="119"/>
      <c r="H425" s="119"/>
      <c r="I425" s="118"/>
      <c r="J425" s="118"/>
      <c r="K425" s="79"/>
      <c r="L425" s="79"/>
      <c r="M425" s="79"/>
      <c r="N425" s="75">
        <v>0</v>
      </c>
      <c r="O425" s="79"/>
      <c r="P425" s="75">
        <f>N425*M422</f>
        <v>0</v>
      </c>
      <c r="Q425" s="75">
        <v>37.756999999999998</v>
      </c>
      <c r="R425" s="75">
        <f>P425*Q425</f>
        <v>0</v>
      </c>
    </row>
    <row r="426" spans="1:18" ht="15.6" x14ac:dyDescent="0.3">
      <c r="A426" s="118"/>
      <c r="B426" s="118"/>
      <c r="C426" s="81">
        <v>4</v>
      </c>
      <c r="D426" s="119" t="s">
        <v>35</v>
      </c>
      <c r="E426" s="119"/>
      <c r="F426" s="119"/>
      <c r="G426" s="119"/>
      <c r="H426" s="119"/>
      <c r="I426" s="118"/>
      <c r="J426" s="118"/>
      <c r="K426" s="79"/>
      <c r="L426" s="79"/>
      <c r="M426" s="79"/>
      <c r="N426" s="75">
        <v>64.44</v>
      </c>
      <c r="O426" s="79"/>
      <c r="P426" s="75">
        <f>N426*M422</f>
        <v>2200.6259999999997</v>
      </c>
      <c r="Q426" s="75">
        <v>13.002000000000001</v>
      </c>
      <c r="R426" s="75">
        <f>P426*Q426</f>
        <v>28612.539251999999</v>
      </c>
    </row>
    <row r="427" spans="1:18" ht="15.6" x14ac:dyDescent="0.3">
      <c r="A427" s="118"/>
      <c r="B427" s="118"/>
      <c r="C427" s="79"/>
      <c r="D427" s="119" t="s">
        <v>36</v>
      </c>
      <c r="E427" s="119"/>
      <c r="F427" s="119"/>
      <c r="G427" s="119"/>
      <c r="H427" s="119"/>
      <c r="I427" s="118"/>
      <c r="J427" s="118"/>
      <c r="K427" s="75">
        <v>4.49</v>
      </c>
      <c r="L427" s="79"/>
      <c r="M427" s="75">
        <f>K427*M422</f>
        <v>153.33350000000002</v>
      </c>
      <c r="N427" s="79"/>
      <c r="O427" s="79"/>
      <c r="P427" s="79"/>
      <c r="Q427" s="79"/>
      <c r="R427" s="80"/>
    </row>
    <row r="428" spans="1:18" ht="15.6" x14ac:dyDescent="0.3">
      <c r="A428" s="118"/>
      <c r="B428" s="118"/>
      <c r="C428" s="79"/>
      <c r="D428" s="119" t="s">
        <v>37</v>
      </c>
      <c r="E428" s="119"/>
      <c r="F428" s="119"/>
      <c r="G428" s="119"/>
      <c r="H428" s="119"/>
      <c r="I428" s="118"/>
      <c r="J428" s="118"/>
      <c r="K428" s="75">
        <v>0</v>
      </c>
      <c r="L428" s="79"/>
      <c r="M428" s="75">
        <f>K428*M422</f>
        <v>0</v>
      </c>
      <c r="N428" s="79"/>
      <c r="O428" s="79"/>
      <c r="P428" s="79"/>
      <c r="Q428" s="79"/>
      <c r="R428" s="80"/>
    </row>
    <row r="429" spans="1:18" ht="15.6" x14ac:dyDescent="0.3">
      <c r="A429" s="118"/>
      <c r="B429" s="118"/>
      <c r="C429" s="79"/>
      <c r="D429" s="119" t="s">
        <v>38</v>
      </c>
      <c r="E429" s="119"/>
      <c r="F429" s="119"/>
      <c r="G429" s="119"/>
      <c r="H429" s="119"/>
      <c r="I429" s="118"/>
      <c r="J429" s="118"/>
      <c r="K429" s="79"/>
      <c r="L429" s="79"/>
      <c r="M429" s="79"/>
      <c r="N429" s="79"/>
      <c r="O429" s="79"/>
      <c r="P429" s="75">
        <f>SUM(P423:P426)</f>
        <v>3777.6729999999998</v>
      </c>
      <c r="Q429" s="79"/>
      <c r="R429" s="75">
        <f>SUM(R423:R426)</f>
        <v>87168.991021999987</v>
      </c>
    </row>
    <row r="430" spans="1:18" ht="15.6" x14ac:dyDescent="0.3">
      <c r="A430" s="118"/>
      <c r="B430" s="118"/>
      <c r="C430" s="79"/>
      <c r="D430" s="119" t="s">
        <v>39</v>
      </c>
      <c r="E430" s="119"/>
      <c r="F430" s="119"/>
      <c r="G430" s="119"/>
      <c r="H430" s="119"/>
      <c r="I430" s="118"/>
      <c r="J430" s="118"/>
      <c r="K430" s="79"/>
      <c r="L430" s="79"/>
      <c r="M430" s="79"/>
      <c r="N430" s="79"/>
      <c r="O430" s="79"/>
      <c r="P430" s="75">
        <f>P423+P425</f>
        <v>1517.6259999999997</v>
      </c>
      <c r="Q430" s="79"/>
      <c r="R430" s="75">
        <f>R423+R425</f>
        <v>57301.004881999987</v>
      </c>
    </row>
    <row r="431" spans="1:18" ht="31.2" x14ac:dyDescent="0.3">
      <c r="A431" s="118"/>
      <c r="B431" s="118"/>
      <c r="C431" s="75" t="s">
        <v>40</v>
      </c>
      <c r="D431" s="119" t="s">
        <v>41</v>
      </c>
      <c r="E431" s="119"/>
      <c r="F431" s="119"/>
      <c r="G431" s="119"/>
      <c r="H431" s="119"/>
      <c r="I431" s="120" t="s">
        <v>42</v>
      </c>
      <c r="J431" s="120"/>
      <c r="K431" s="75">
        <v>108</v>
      </c>
      <c r="L431" s="79"/>
      <c r="M431" s="79"/>
      <c r="N431" s="79"/>
      <c r="O431" s="79"/>
      <c r="P431" s="75">
        <f>P430*K431/100</f>
        <v>1639.0360799999999</v>
      </c>
      <c r="Q431" s="79"/>
      <c r="R431" s="75">
        <f>R430*K431/100</f>
        <v>61885.085272559991</v>
      </c>
    </row>
    <row r="432" spans="1:18" ht="31.2" x14ac:dyDescent="0.3">
      <c r="A432" s="118"/>
      <c r="B432" s="118"/>
      <c r="C432" s="75" t="s">
        <v>43</v>
      </c>
      <c r="D432" s="119" t="s">
        <v>44</v>
      </c>
      <c r="E432" s="119"/>
      <c r="F432" s="119"/>
      <c r="G432" s="119"/>
      <c r="H432" s="119"/>
      <c r="I432" s="120" t="s">
        <v>42</v>
      </c>
      <c r="J432" s="120"/>
      <c r="K432" s="75">
        <v>55</v>
      </c>
      <c r="L432" s="79"/>
      <c r="M432" s="79"/>
      <c r="N432" s="79"/>
      <c r="O432" s="79"/>
      <c r="P432" s="75">
        <f>P430*K432/100</f>
        <v>834.69429999999988</v>
      </c>
      <c r="Q432" s="79"/>
      <c r="R432" s="75">
        <f>R430*K432/100</f>
        <v>31515.552685099992</v>
      </c>
    </row>
    <row r="433" spans="1:18" ht="15.6" x14ac:dyDescent="0.3">
      <c r="A433" s="118"/>
      <c r="B433" s="118"/>
      <c r="C433" s="79"/>
      <c r="D433" s="119" t="s">
        <v>45</v>
      </c>
      <c r="E433" s="119"/>
      <c r="F433" s="119"/>
      <c r="G433" s="119"/>
      <c r="H433" s="119"/>
      <c r="I433" s="118"/>
      <c r="J433" s="118"/>
      <c r="K433" s="79"/>
      <c r="L433" s="79"/>
      <c r="M433" s="79"/>
      <c r="N433" s="79"/>
      <c r="O433" s="79"/>
      <c r="P433" s="75">
        <f>P432+P431+P429</f>
        <v>6251.4033799999997</v>
      </c>
      <c r="Q433" s="79"/>
      <c r="R433" s="75">
        <f>R432+R431+R429</f>
        <v>180569.62897965999</v>
      </c>
    </row>
    <row r="434" spans="1:18" ht="15.6" x14ac:dyDescent="0.3">
      <c r="A434" s="123"/>
      <c r="B434" s="123"/>
      <c r="C434" s="79"/>
      <c r="D434" s="120" t="s">
        <v>125</v>
      </c>
      <c r="E434" s="120"/>
      <c r="F434" s="120"/>
      <c r="G434" s="120"/>
      <c r="H434" s="120"/>
      <c r="I434" s="123"/>
      <c r="J434" s="123"/>
      <c r="K434" s="79"/>
      <c r="L434" s="79"/>
      <c r="M434" s="79"/>
      <c r="N434" s="79"/>
      <c r="O434" s="79"/>
      <c r="P434" s="75">
        <f>P409+P397+P372+P360+P384+P433+P421</f>
        <v>87105.140186999997</v>
      </c>
      <c r="Q434" s="79"/>
      <c r="R434" s="75">
        <f>R409+R397+R372+R360+R384+R433+R421</f>
        <v>1602615.8017666591</v>
      </c>
    </row>
    <row r="435" spans="1:18" ht="15.6" x14ac:dyDescent="0.3">
      <c r="A435" s="127" t="s">
        <v>126</v>
      </c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</row>
    <row r="436" spans="1:18" ht="15.6" x14ac:dyDescent="0.3">
      <c r="A436" s="121" t="s">
        <v>119</v>
      </c>
      <c r="B436" s="121"/>
      <c r="C436" s="75" t="s">
        <v>128</v>
      </c>
      <c r="D436" s="120" t="s">
        <v>127</v>
      </c>
      <c r="E436" s="120"/>
      <c r="F436" s="120"/>
      <c r="G436" s="120"/>
      <c r="H436" s="120"/>
      <c r="I436" s="122" t="s">
        <v>76</v>
      </c>
      <c r="J436" s="122"/>
      <c r="K436" s="76">
        <v>0.17</v>
      </c>
      <c r="L436" s="77">
        <v>1</v>
      </c>
      <c r="M436" s="77">
        <f>K436</f>
        <v>0.17</v>
      </c>
      <c r="N436" s="78"/>
      <c r="O436" s="79"/>
      <c r="P436" s="79"/>
      <c r="Q436" s="79"/>
      <c r="R436" s="80"/>
    </row>
    <row r="437" spans="1:18" ht="15.6" x14ac:dyDescent="0.3">
      <c r="A437" s="118"/>
      <c r="B437" s="118"/>
      <c r="C437" s="81">
        <v>1</v>
      </c>
      <c r="D437" s="119" t="s">
        <v>32</v>
      </c>
      <c r="E437" s="119"/>
      <c r="F437" s="119"/>
      <c r="G437" s="119"/>
      <c r="H437" s="119"/>
      <c r="I437" s="118"/>
      <c r="J437" s="118"/>
      <c r="K437" s="79"/>
      <c r="L437" s="79"/>
      <c r="M437" s="79"/>
      <c r="N437" s="75">
        <v>1273.5899999999999</v>
      </c>
      <c r="O437" s="79"/>
      <c r="P437" s="75">
        <f>M436*N437</f>
        <v>216.5103</v>
      </c>
      <c r="Q437" s="75">
        <v>37.756999999999998</v>
      </c>
      <c r="R437" s="75">
        <f>P437*Q437</f>
        <v>8174.7793970999992</v>
      </c>
    </row>
    <row r="438" spans="1:18" ht="15.6" x14ac:dyDescent="0.3">
      <c r="A438" s="118"/>
      <c r="B438" s="118"/>
      <c r="C438" s="81">
        <v>3</v>
      </c>
      <c r="D438" s="119" t="s">
        <v>33</v>
      </c>
      <c r="E438" s="119"/>
      <c r="F438" s="119"/>
      <c r="G438" s="119"/>
      <c r="H438" s="119"/>
      <c r="I438" s="118"/>
      <c r="J438" s="118"/>
      <c r="K438" s="79"/>
      <c r="L438" s="79"/>
      <c r="M438" s="79"/>
      <c r="N438" s="75">
        <v>409.22</v>
      </c>
      <c r="O438" s="79"/>
      <c r="P438" s="75">
        <f>N438*M436</f>
        <v>69.567400000000006</v>
      </c>
      <c r="Q438" s="82">
        <v>21.128</v>
      </c>
      <c r="R438" s="75">
        <f>P438*Q438</f>
        <v>1469.8200272000001</v>
      </c>
    </row>
    <row r="439" spans="1:18" ht="15.6" x14ac:dyDescent="0.3">
      <c r="A439" s="118"/>
      <c r="B439" s="118"/>
      <c r="C439" s="81">
        <v>2</v>
      </c>
      <c r="D439" s="119" t="s">
        <v>34</v>
      </c>
      <c r="E439" s="119"/>
      <c r="F439" s="119"/>
      <c r="G439" s="119"/>
      <c r="H439" s="119"/>
      <c r="I439" s="118"/>
      <c r="J439" s="118"/>
      <c r="K439" s="79"/>
      <c r="L439" s="79"/>
      <c r="M439" s="79"/>
      <c r="N439" s="75">
        <v>7.66</v>
      </c>
      <c r="O439" s="79"/>
      <c r="P439" s="75">
        <f>N439*M436</f>
        <v>1.3022</v>
      </c>
      <c r="Q439" s="75">
        <v>37.756999999999998</v>
      </c>
      <c r="R439" s="75">
        <f>P439*Q439</f>
        <v>49.167165399999995</v>
      </c>
    </row>
    <row r="440" spans="1:18" ht="15.6" x14ac:dyDescent="0.3">
      <c r="A440" s="118"/>
      <c r="B440" s="118"/>
      <c r="C440" s="81">
        <v>4</v>
      </c>
      <c r="D440" s="119" t="s">
        <v>35</v>
      </c>
      <c r="E440" s="119"/>
      <c r="F440" s="119"/>
      <c r="G440" s="119"/>
      <c r="H440" s="119"/>
      <c r="I440" s="118"/>
      <c r="J440" s="118"/>
      <c r="K440" s="79"/>
      <c r="L440" s="79"/>
      <c r="M440" s="79"/>
      <c r="N440" s="75">
        <v>249846.35</v>
      </c>
      <c r="O440" s="79"/>
      <c r="P440" s="75">
        <f>N440*M436</f>
        <v>42473.879500000003</v>
      </c>
      <c r="Q440" s="75">
        <v>13.002000000000001</v>
      </c>
      <c r="R440" s="75">
        <f>P440*Q440</f>
        <v>552245.38125900005</v>
      </c>
    </row>
    <row r="441" spans="1:18" ht="15.6" x14ac:dyDescent="0.3">
      <c r="A441" s="118"/>
      <c r="B441" s="118"/>
      <c r="C441" s="79"/>
      <c r="D441" s="119" t="s">
        <v>36</v>
      </c>
      <c r="E441" s="119"/>
      <c r="F441" s="119"/>
      <c r="G441" s="119"/>
      <c r="H441" s="119"/>
      <c r="I441" s="118"/>
      <c r="J441" s="118"/>
      <c r="K441" s="75">
        <v>145.72</v>
      </c>
      <c r="L441" s="79"/>
      <c r="M441" s="75">
        <f>K441*M436</f>
        <v>24.772400000000001</v>
      </c>
      <c r="N441" s="79"/>
      <c r="O441" s="79"/>
      <c r="P441" s="79"/>
      <c r="Q441" s="79"/>
      <c r="R441" s="80"/>
    </row>
    <row r="442" spans="1:18" ht="15.6" x14ac:dyDescent="0.3">
      <c r="A442" s="118"/>
      <c r="B442" s="118"/>
      <c r="C442" s="79"/>
      <c r="D442" s="119" t="s">
        <v>37</v>
      </c>
      <c r="E442" s="119"/>
      <c r="F442" s="119"/>
      <c r="G442" s="119"/>
      <c r="H442" s="119"/>
      <c r="I442" s="118"/>
      <c r="J442" s="118"/>
      <c r="K442" s="75">
        <v>0.66</v>
      </c>
      <c r="L442" s="79"/>
      <c r="M442" s="75">
        <f>K442*M436</f>
        <v>0.11220000000000001</v>
      </c>
      <c r="N442" s="79"/>
      <c r="O442" s="79"/>
      <c r="P442" s="79"/>
      <c r="Q442" s="79"/>
      <c r="R442" s="80"/>
    </row>
    <row r="443" spans="1:18" ht="15.6" x14ac:dyDescent="0.3">
      <c r="A443" s="118"/>
      <c r="B443" s="118"/>
      <c r="C443" s="79"/>
      <c r="D443" s="119" t="s">
        <v>38</v>
      </c>
      <c r="E443" s="119"/>
      <c r="F443" s="119"/>
      <c r="G443" s="119"/>
      <c r="H443" s="119"/>
      <c r="I443" s="118"/>
      <c r="J443" s="118"/>
      <c r="K443" s="79"/>
      <c r="L443" s="79"/>
      <c r="M443" s="79"/>
      <c r="N443" s="79"/>
      <c r="O443" s="79"/>
      <c r="P443" s="75">
        <f>SUM(P437:P440)</f>
        <v>42761.259400000003</v>
      </c>
      <c r="Q443" s="79"/>
      <c r="R443" s="75">
        <f>SUM(R437:R440)</f>
        <v>561939.14784870006</v>
      </c>
    </row>
    <row r="444" spans="1:18" ht="15.6" x14ac:dyDescent="0.3">
      <c r="A444" s="118"/>
      <c r="B444" s="118"/>
      <c r="C444" s="79"/>
      <c r="D444" s="119" t="s">
        <v>39</v>
      </c>
      <c r="E444" s="119"/>
      <c r="F444" s="119"/>
      <c r="G444" s="119"/>
      <c r="H444" s="119"/>
      <c r="I444" s="118"/>
      <c r="J444" s="118"/>
      <c r="K444" s="79"/>
      <c r="L444" s="79"/>
      <c r="M444" s="79"/>
      <c r="N444" s="79"/>
      <c r="O444" s="79"/>
      <c r="P444" s="75">
        <f>P437+P439</f>
        <v>217.8125</v>
      </c>
      <c r="Q444" s="79"/>
      <c r="R444" s="75">
        <f>R437+R439</f>
        <v>8223.9465624999993</v>
      </c>
    </row>
    <row r="445" spans="1:18" ht="31.2" x14ac:dyDescent="0.3">
      <c r="A445" s="118"/>
      <c r="B445" s="118"/>
      <c r="C445" s="75" t="s">
        <v>40</v>
      </c>
      <c r="D445" s="119" t="s">
        <v>41</v>
      </c>
      <c r="E445" s="119"/>
      <c r="F445" s="119"/>
      <c r="G445" s="119"/>
      <c r="H445" s="119"/>
      <c r="I445" s="120" t="s">
        <v>42</v>
      </c>
      <c r="J445" s="120"/>
      <c r="K445" s="75">
        <v>108</v>
      </c>
      <c r="L445" s="79"/>
      <c r="M445" s="79"/>
      <c r="N445" s="79"/>
      <c r="O445" s="79"/>
      <c r="P445" s="75">
        <f>P444*K445/100</f>
        <v>235.23750000000001</v>
      </c>
      <c r="Q445" s="79"/>
      <c r="R445" s="75">
        <f>R444*K445/100</f>
        <v>8881.8622874999983</v>
      </c>
    </row>
    <row r="446" spans="1:18" ht="31.2" x14ac:dyDescent="0.3">
      <c r="A446" s="118"/>
      <c r="B446" s="118"/>
      <c r="C446" s="75" t="s">
        <v>43</v>
      </c>
      <c r="D446" s="119" t="s">
        <v>44</v>
      </c>
      <c r="E446" s="119"/>
      <c r="F446" s="119"/>
      <c r="G446" s="119"/>
      <c r="H446" s="119"/>
      <c r="I446" s="120" t="s">
        <v>42</v>
      </c>
      <c r="J446" s="120"/>
      <c r="K446" s="75">
        <v>55</v>
      </c>
      <c r="L446" s="79"/>
      <c r="M446" s="79"/>
      <c r="N446" s="79"/>
      <c r="O446" s="79"/>
      <c r="P446" s="75">
        <f>P444*K446/100</f>
        <v>119.796875</v>
      </c>
      <c r="Q446" s="79"/>
      <c r="R446" s="75">
        <f>R444*K446/100</f>
        <v>4523.1706093749999</v>
      </c>
    </row>
    <row r="447" spans="1:18" ht="15.6" x14ac:dyDescent="0.3">
      <c r="A447" s="126"/>
      <c r="B447" s="126"/>
      <c r="C447" s="87" t="s">
        <v>132</v>
      </c>
      <c r="D447" s="133" t="s">
        <v>136</v>
      </c>
      <c r="E447" s="126"/>
      <c r="F447" s="126"/>
      <c r="G447" s="126"/>
      <c r="H447" s="126"/>
      <c r="I447" s="134" t="s">
        <v>135</v>
      </c>
      <c r="J447" s="134"/>
      <c r="K447" s="88">
        <v>15</v>
      </c>
      <c r="L447" s="89"/>
      <c r="M447" s="89"/>
      <c r="N447" s="90">
        <v>83.79</v>
      </c>
      <c r="O447" s="89"/>
      <c r="P447" s="89">
        <f>K447*N447</f>
        <v>1256.8500000000001</v>
      </c>
      <c r="Q447" s="89">
        <v>13.002000000000001</v>
      </c>
      <c r="R447" s="89">
        <f>P447*Q447</f>
        <v>16341.563700000002</v>
      </c>
    </row>
    <row r="448" spans="1:18" ht="15.6" x14ac:dyDescent="0.3">
      <c r="A448" s="118"/>
      <c r="B448" s="118"/>
      <c r="C448" s="79"/>
      <c r="D448" s="119" t="s">
        <v>45</v>
      </c>
      <c r="E448" s="119"/>
      <c r="F448" s="119"/>
      <c r="G448" s="119"/>
      <c r="H448" s="119"/>
      <c r="I448" s="118"/>
      <c r="J448" s="118"/>
      <c r="K448" s="79"/>
      <c r="L448" s="79"/>
      <c r="M448" s="79"/>
      <c r="N448" s="79"/>
      <c r="O448" s="79"/>
      <c r="P448" s="75">
        <f>P446+P445+P443+P447</f>
        <v>44373.143775000004</v>
      </c>
      <c r="Q448" s="79"/>
      <c r="R448" s="75">
        <f>R446+R445+R443+R447</f>
        <v>591685.74444557517</v>
      </c>
    </row>
    <row r="449" spans="1:18" ht="15.6" x14ac:dyDescent="0.3">
      <c r="A449" s="121" t="s">
        <v>122</v>
      </c>
      <c r="B449" s="121"/>
      <c r="C449" s="75" t="s">
        <v>131</v>
      </c>
      <c r="D449" s="120" t="s">
        <v>130</v>
      </c>
      <c r="E449" s="120"/>
      <c r="F449" s="120"/>
      <c r="G449" s="120"/>
      <c r="H449" s="120"/>
      <c r="I449" s="122" t="s">
        <v>76</v>
      </c>
      <c r="J449" s="122"/>
      <c r="K449" s="76">
        <v>0.22</v>
      </c>
      <c r="L449" s="77">
        <v>1</v>
      </c>
      <c r="M449" s="77">
        <f>K449</f>
        <v>0.22</v>
      </c>
      <c r="N449" s="78"/>
      <c r="O449" s="79"/>
      <c r="P449" s="79"/>
      <c r="Q449" s="79"/>
      <c r="R449" s="80"/>
    </row>
    <row r="450" spans="1:18" ht="15.6" x14ac:dyDescent="0.3">
      <c r="A450" s="118"/>
      <c r="B450" s="118"/>
      <c r="C450" s="81">
        <v>1</v>
      </c>
      <c r="D450" s="119" t="s">
        <v>32</v>
      </c>
      <c r="E450" s="119"/>
      <c r="F450" s="119"/>
      <c r="G450" s="119"/>
      <c r="H450" s="119"/>
      <c r="I450" s="118"/>
      <c r="J450" s="118"/>
      <c r="K450" s="79"/>
      <c r="L450" s="79"/>
      <c r="M450" s="79"/>
      <c r="N450" s="75">
        <v>957.29</v>
      </c>
      <c r="O450" s="79"/>
      <c r="P450" s="75">
        <f>M449*N450</f>
        <v>210.60380000000001</v>
      </c>
      <c r="Q450" s="75">
        <v>37.756999999999998</v>
      </c>
      <c r="R450" s="75">
        <f>P450*Q450</f>
        <v>7951.7676765999995</v>
      </c>
    </row>
    <row r="451" spans="1:18" ht="15.6" x14ac:dyDescent="0.3">
      <c r="A451" s="118"/>
      <c r="B451" s="118"/>
      <c r="C451" s="81">
        <v>3</v>
      </c>
      <c r="D451" s="119" t="s">
        <v>33</v>
      </c>
      <c r="E451" s="119"/>
      <c r="F451" s="119"/>
      <c r="G451" s="119"/>
      <c r="H451" s="119"/>
      <c r="I451" s="118"/>
      <c r="J451" s="118"/>
      <c r="K451" s="79"/>
      <c r="L451" s="79"/>
      <c r="M451" s="79"/>
      <c r="N451" s="75">
        <v>1250.29</v>
      </c>
      <c r="O451" s="79"/>
      <c r="P451" s="75">
        <f>N451*M449</f>
        <v>275.06380000000001</v>
      </c>
      <c r="Q451" s="82">
        <v>21.128</v>
      </c>
      <c r="R451" s="75">
        <f>P451*Q451</f>
        <v>5811.5479664000004</v>
      </c>
    </row>
    <row r="452" spans="1:18" ht="15.6" x14ac:dyDescent="0.3">
      <c r="A452" s="118"/>
      <c r="B452" s="118"/>
      <c r="C452" s="81">
        <v>2</v>
      </c>
      <c r="D452" s="119" t="s">
        <v>34</v>
      </c>
      <c r="E452" s="119"/>
      <c r="F452" s="119"/>
      <c r="G452" s="119"/>
      <c r="H452" s="119"/>
      <c r="I452" s="118"/>
      <c r="J452" s="118"/>
      <c r="K452" s="79"/>
      <c r="L452" s="79"/>
      <c r="M452" s="79"/>
      <c r="N452" s="75">
        <v>153.22999999999999</v>
      </c>
      <c r="O452" s="79"/>
      <c r="P452" s="75">
        <f>N452*M449</f>
        <v>33.710599999999999</v>
      </c>
      <c r="Q452" s="75">
        <v>37.756999999999998</v>
      </c>
      <c r="R452" s="75">
        <f>P452*Q452</f>
        <v>1272.8111242</v>
      </c>
    </row>
    <row r="453" spans="1:18" ht="15.6" x14ac:dyDescent="0.3">
      <c r="A453" s="118"/>
      <c r="B453" s="118"/>
      <c r="C453" s="81">
        <v>4</v>
      </c>
      <c r="D453" s="119" t="s">
        <v>35</v>
      </c>
      <c r="E453" s="119"/>
      <c r="F453" s="119"/>
      <c r="G453" s="119"/>
      <c r="H453" s="119"/>
      <c r="I453" s="118"/>
      <c r="J453" s="118"/>
      <c r="K453" s="79"/>
      <c r="L453" s="79"/>
      <c r="M453" s="79"/>
      <c r="N453" s="75">
        <v>23366.240000000002</v>
      </c>
      <c r="O453" s="79"/>
      <c r="P453" s="75">
        <f>N453*M449</f>
        <v>5140.5728000000008</v>
      </c>
      <c r="Q453" s="75">
        <v>13.002000000000001</v>
      </c>
      <c r="R453" s="75">
        <f>P453*Q453</f>
        <v>66837.727545600021</v>
      </c>
    </row>
    <row r="454" spans="1:18" ht="15.6" x14ac:dyDescent="0.3">
      <c r="A454" s="118"/>
      <c r="B454" s="118"/>
      <c r="C454" s="79"/>
      <c r="D454" s="119" t="s">
        <v>36</v>
      </c>
      <c r="E454" s="119"/>
      <c r="F454" s="119"/>
      <c r="G454" s="119"/>
      <c r="H454" s="119"/>
      <c r="I454" s="118"/>
      <c r="J454" s="118"/>
      <c r="K454" s="75">
        <v>104.28</v>
      </c>
      <c r="L454" s="79"/>
      <c r="M454" s="75">
        <f>K454*M449</f>
        <v>22.941600000000001</v>
      </c>
      <c r="N454" s="79"/>
      <c r="O454" s="79"/>
      <c r="P454" s="79"/>
      <c r="Q454" s="79"/>
      <c r="R454" s="80"/>
    </row>
    <row r="455" spans="1:18" ht="15.6" x14ac:dyDescent="0.3">
      <c r="A455" s="118"/>
      <c r="B455" s="118"/>
      <c r="C455" s="79"/>
      <c r="D455" s="119" t="s">
        <v>37</v>
      </c>
      <c r="E455" s="119"/>
      <c r="F455" s="119"/>
      <c r="G455" s="119"/>
      <c r="H455" s="119"/>
      <c r="I455" s="118"/>
      <c r="J455" s="118"/>
      <c r="K455" s="75">
        <v>11.35</v>
      </c>
      <c r="L455" s="79"/>
      <c r="M455" s="75">
        <f>K455*M449</f>
        <v>2.4969999999999999</v>
      </c>
      <c r="N455" s="79"/>
      <c r="O455" s="79"/>
      <c r="P455" s="79"/>
      <c r="Q455" s="79"/>
      <c r="R455" s="80"/>
    </row>
    <row r="456" spans="1:18" ht="15.6" x14ac:dyDescent="0.3">
      <c r="A456" s="118"/>
      <c r="B456" s="118"/>
      <c r="C456" s="79"/>
      <c r="D456" s="119" t="s">
        <v>38</v>
      </c>
      <c r="E456" s="119"/>
      <c r="F456" s="119"/>
      <c r="G456" s="119"/>
      <c r="H456" s="119"/>
      <c r="I456" s="118"/>
      <c r="J456" s="118"/>
      <c r="K456" s="79"/>
      <c r="L456" s="79"/>
      <c r="M456" s="79"/>
      <c r="N456" s="79"/>
      <c r="O456" s="79"/>
      <c r="P456" s="75">
        <f>SUM(P450:P453)</f>
        <v>5659.9510000000009</v>
      </c>
      <c r="Q456" s="79"/>
      <c r="R456" s="75">
        <f>SUM(R450:R453)</f>
        <v>81873.854312800016</v>
      </c>
    </row>
    <row r="457" spans="1:18" ht="15.6" x14ac:dyDescent="0.3">
      <c r="A457" s="118"/>
      <c r="B457" s="118"/>
      <c r="C457" s="79"/>
      <c r="D457" s="119" t="s">
        <v>39</v>
      </c>
      <c r="E457" s="119"/>
      <c r="F457" s="119"/>
      <c r="G457" s="119"/>
      <c r="H457" s="119"/>
      <c r="I457" s="118"/>
      <c r="J457" s="118"/>
      <c r="K457" s="79"/>
      <c r="L457" s="79"/>
      <c r="M457" s="79"/>
      <c r="N457" s="79"/>
      <c r="O457" s="79"/>
      <c r="P457" s="75">
        <f>P450+P452</f>
        <v>244.31440000000001</v>
      </c>
      <c r="Q457" s="79"/>
      <c r="R457" s="75">
        <f>R450+R452</f>
        <v>9224.5788008</v>
      </c>
    </row>
    <row r="458" spans="1:18" ht="31.2" x14ac:dyDescent="0.3">
      <c r="A458" s="118"/>
      <c r="B458" s="118"/>
      <c r="C458" s="75" t="s">
        <v>40</v>
      </c>
      <c r="D458" s="119" t="s">
        <v>41</v>
      </c>
      <c r="E458" s="119"/>
      <c r="F458" s="119"/>
      <c r="G458" s="119"/>
      <c r="H458" s="119"/>
      <c r="I458" s="120" t="s">
        <v>42</v>
      </c>
      <c r="J458" s="120"/>
      <c r="K458" s="75">
        <v>108</v>
      </c>
      <c r="L458" s="79"/>
      <c r="M458" s="79"/>
      <c r="N458" s="79"/>
      <c r="O458" s="79"/>
      <c r="P458" s="75">
        <f>P457*K458/100</f>
        <v>263.85955200000001</v>
      </c>
      <c r="Q458" s="79"/>
      <c r="R458" s="75">
        <f>R457*K458/100</f>
        <v>9962.5451048640007</v>
      </c>
    </row>
    <row r="459" spans="1:18" ht="31.2" x14ac:dyDescent="0.3">
      <c r="A459" s="118"/>
      <c r="B459" s="118"/>
      <c r="C459" s="75" t="s">
        <v>43</v>
      </c>
      <c r="D459" s="119" t="s">
        <v>44</v>
      </c>
      <c r="E459" s="119"/>
      <c r="F459" s="119"/>
      <c r="G459" s="119"/>
      <c r="H459" s="119"/>
      <c r="I459" s="120" t="s">
        <v>42</v>
      </c>
      <c r="J459" s="120"/>
      <c r="K459" s="75">
        <v>55</v>
      </c>
      <c r="L459" s="79"/>
      <c r="M459" s="79"/>
      <c r="N459" s="79"/>
      <c r="O459" s="79"/>
      <c r="P459" s="75">
        <f>P457*K459/100</f>
        <v>134.37291999999999</v>
      </c>
      <c r="Q459" s="79"/>
      <c r="R459" s="75">
        <f>R457*K459/100</f>
        <v>5073.5183404400004</v>
      </c>
    </row>
    <row r="460" spans="1:18" ht="15.6" x14ac:dyDescent="0.3">
      <c r="A460" s="126"/>
      <c r="B460" s="126"/>
      <c r="C460" s="87" t="s">
        <v>132</v>
      </c>
      <c r="D460" s="133" t="s">
        <v>136</v>
      </c>
      <c r="E460" s="126"/>
      <c r="F460" s="126"/>
      <c r="G460" s="126"/>
      <c r="H460" s="126"/>
      <c r="I460" s="134" t="s">
        <v>135</v>
      </c>
      <c r="J460" s="134"/>
      <c r="K460" s="88">
        <v>11</v>
      </c>
      <c r="L460" s="89"/>
      <c r="M460" s="89"/>
      <c r="N460" s="90">
        <v>83.79</v>
      </c>
      <c r="O460" s="89"/>
      <c r="P460" s="89">
        <f>K460*N460</f>
        <v>921.69</v>
      </c>
      <c r="Q460" s="89">
        <v>13.002000000000001</v>
      </c>
      <c r="R460" s="89">
        <f>P460*Q460</f>
        <v>11983.813380000001</v>
      </c>
    </row>
    <row r="461" spans="1:18" ht="15.6" x14ac:dyDescent="0.3">
      <c r="A461" s="118"/>
      <c r="B461" s="118"/>
      <c r="C461" s="79"/>
      <c r="D461" s="119" t="s">
        <v>45</v>
      </c>
      <c r="E461" s="119"/>
      <c r="F461" s="119"/>
      <c r="G461" s="119"/>
      <c r="H461" s="119"/>
      <c r="I461" s="118"/>
      <c r="J461" s="118"/>
      <c r="K461" s="79"/>
      <c r="L461" s="79"/>
      <c r="M461" s="79"/>
      <c r="N461" s="79"/>
      <c r="O461" s="79"/>
      <c r="P461" s="75">
        <f>P459+P458+P456+P460</f>
        <v>6979.8734720000011</v>
      </c>
      <c r="Q461" s="79"/>
      <c r="R461" s="75">
        <f>R459+R458+R456+R460</f>
        <v>108893.73113810402</v>
      </c>
    </row>
    <row r="462" spans="1:18" ht="15.6" x14ac:dyDescent="0.3">
      <c r="A462" s="123"/>
      <c r="B462" s="123"/>
      <c r="C462" s="79"/>
      <c r="D462" s="120" t="s">
        <v>133</v>
      </c>
      <c r="E462" s="120"/>
      <c r="F462" s="120"/>
      <c r="G462" s="120"/>
      <c r="H462" s="120"/>
      <c r="I462" s="123"/>
      <c r="J462" s="123"/>
      <c r="K462" s="79"/>
      <c r="L462" s="79"/>
      <c r="M462" s="79"/>
      <c r="N462" s="79"/>
      <c r="O462" s="79"/>
      <c r="P462" s="75">
        <f>P461+P448</f>
        <v>51353.017247000003</v>
      </c>
      <c r="Q462" s="79"/>
      <c r="R462" s="75">
        <f>R461+R448</f>
        <v>700579.47558367916</v>
      </c>
    </row>
    <row r="463" spans="1:18" ht="15.6" x14ac:dyDescent="0.3">
      <c r="A463" s="127" t="s">
        <v>134</v>
      </c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</row>
    <row r="464" spans="1:18" ht="15.6" x14ac:dyDescent="0.3">
      <c r="A464" s="127" t="s">
        <v>141</v>
      </c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</row>
    <row r="465" spans="1:18" ht="15.6" x14ac:dyDescent="0.3">
      <c r="A465" s="121" t="s">
        <v>523</v>
      </c>
      <c r="B465" s="121"/>
      <c r="C465" s="75" t="s">
        <v>138</v>
      </c>
      <c r="D465" s="120" t="s">
        <v>137</v>
      </c>
      <c r="E465" s="120"/>
      <c r="F465" s="120"/>
      <c r="G465" s="120"/>
      <c r="H465" s="120"/>
      <c r="I465" s="122" t="s">
        <v>76</v>
      </c>
      <c r="J465" s="122"/>
      <c r="K465" s="76">
        <v>0.31</v>
      </c>
      <c r="L465" s="77">
        <v>1</v>
      </c>
      <c r="M465" s="77">
        <f>K465</f>
        <v>0.31</v>
      </c>
      <c r="N465" s="78"/>
      <c r="O465" s="79"/>
      <c r="P465" s="79"/>
      <c r="Q465" s="79"/>
      <c r="R465" s="80"/>
    </row>
    <row r="466" spans="1:18" ht="15.6" x14ac:dyDescent="0.3">
      <c r="A466" s="118"/>
      <c r="B466" s="118"/>
      <c r="C466" s="81">
        <v>1</v>
      </c>
      <c r="D466" s="119" t="s">
        <v>32</v>
      </c>
      <c r="E466" s="119"/>
      <c r="F466" s="119"/>
      <c r="G466" s="119"/>
      <c r="H466" s="119"/>
      <c r="I466" s="118"/>
      <c r="J466" s="118"/>
      <c r="K466" s="79"/>
      <c r="L466" s="79"/>
      <c r="M466" s="79"/>
      <c r="N466" s="75">
        <v>1536.97</v>
      </c>
      <c r="O466" s="79"/>
      <c r="P466" s="75">
        <f>M465*N466</f>
        <v>476.46070000000003</v>
      </c>
      <c r="Q466" s="75">
        <v>37.756999999999998</v>
      </c>
      <c r="R466" s="75">
        <f>P466*Q466</f>
        <v>17989.7266499</v>
      </c>
    </row>
    <row r="467" spans="1:18" ht="15.6" x14ac:dyDescent="0.3">
      <c r="A467" s="118"/>
      <c r="B467" s="118"/>
      <c r="C467" s="81">
        <v>3</v>
      </c>
      <c r="D467" s="119" t="s">
        <v>33</v>
      </c>
      <c r="E467" s="119"/>
      <c r="F467" s="119"/>
      <c r="G467" s="119"/>
      <c r="H467" s="119"/>
      <c r="I467" s="118"/>
      <c r="J467" s="118"/>
      <c r="K467" s="79"/>
      <c r="L467" s="79"/>
      <c r="M467" s="79"/>
      <c r="N467" s="75">
        <v>84.59</v>
      </c>
      <c r="O467" s="79"/>
      <c r="P467" s="75">
        <f>N467*M465</f>
        <v>26.222899999999999</v>
      </c>
      <c r="Q467" s="82">
        <v>21.128</v>
      </c>
      <c r="R467" s="75">
        <f>P467*Q467</f>
        <v>554.03743120000001</v>
      </c>
    </row>
    <row r="468" spans="1:18" ht="15.6" x14ac:dyDescent="0.3">
      <c r="A468" s="118"/>
      <c r="B468" s="118"/>
      <c r="C468" s="81">
        <v>2</v>
      </c>
      <c r="D468" s="119" t="s">
        <v>34</v>
      </c>
      <c r="E468" s="119"/>
      <c r="F468" s="119"/>
      <c r="G468" s="119"/>
      <c r="H468" s="119"/>
      <c r="I468" s="118"/>
      <c r="J468" s="118"/>
      <c r="K468" s="79"/>
      <c r="L468" s="79"/>
      <c r="M468" s="79"/>
      <c r="N468" s="75">
        <v>49.54</v>
      </c>
      <c r="O468" s="79"/>
      <c r="P468" s="75">
        <f>N468*M465</f>
        <v>15.3574</v>
      </c>
      <c r="Q468" s="75">
        <v>37.756999999999998</v>
      </c>
      <c r="R468" s="75">
        <f>P468*Q468</f>
        <v>579.84935180000002</v>
      </c>
    </row>
    <row r="469" spans="1:18" ht="15.6" x14ac:dyDescent="0.3">
      <c r="A469" s="118"/>
      <c r="B469" s="118"/>
      <c r="C469" s="81">
        <v>4</v>
      </c>
      <c r="D469" s="119" t="s">
        <v>35</v>
      </c>
      <c r="E469" s="119"/>
      <c r="F469" s="119"/>
      <c r="G469" s="119"/>
      <c r="H469" s="119"/>
      <c r="I469" s="118"/>
      <c r="J469" s="118"/>
      <c r="K469" s="79"/>
      <c r="L469" s="79"/>
      <c r="M469" s="79"/>
      <c r="N469" s="75">
        <v>2605.7399999999998</v>
      </c>
      <c r="O469" s="79"/>
      <c r="P469" s="75">
        <f>N469*M465</f>
        <v>807.7793999999999</v>
      </c>
      <c r="Q469" s="75">
        <v>13.002000000000001</v>
      </c>
      <c r="R469" s="75">
        <f>P469*Q469</f>
        <v>10502.747758799998</v>
      </c>
    </row>
    <row r="470" spans="1:18" ht="15.6" x14ac:dyDescent="0.3">
      <c r="A470" s="118"/>
      <c r="B470" s="118"/>
      <c r="C470" s="79"/>
      <c r="D470" s="119" t="s">
        <v>36</v>
      </c>
      <c r="E470" s="119"/>
      <c r="F470" s="119"/>
      <c r="G470" s="119"/>
      <c r="H470" s="119"/>
      <c r="I470" s="118"/>
      <c r="J470" s="118"/>
      <c r="K470" s="75">
        <v>153.18</v>
      </c>
      <c r="L470" s="79"/>
      <c r="M470" s="75">
        <f>K470*M465</f>
        <v>47.485800000000005</v>
      </c>
      <c r="N470" s="79"/>
      <c r="O470" s="79"/>
      <c r="P470" s="79"/>
      <c r="Q470" s="79"/>
      <c r="R470" s="80"/>
    </row>
    <row r="471" spans="1:18" ht="15.6" x14ac:dyDescent="0.3">
      <c r="A471" s="118"/>
      <c r="B471" s="118"/>
      <c r="C471" s="79"/>
      <c r="D471" s="119" t="s">
        <v>37</v>
      </c>
      <c r="E471" s="119"/>
      <c r="F471" s="119"/>
      <c r="G471" s="119"/>
      <c r="H471" s="119"/>
      <c r="I471" s="118"/>
      <c r="J471" s="118"/>
      <c r="K471" s="75">
        <v>4.91</v>
      </c>
      <c r="L471" s="79"/>
      <c r="M471" s="75">
        <f>K471*M465</f>
        <v>1.5221</v>
      </c>
      <c r="N471" s="79"/>
      <c r="O471" s="79"/>
      <c r="P471" s="79"/>
      <c r="Q471" s="79"/>
      <c r="R471" s="80"/>
    </row>
    <row r="472" spans="1:18" ht="15.6" x14ac:dyDescent="0.3">
      <c r="A472" s="118"/>
      <c r="B472" s="118"/>
      <c r="C472" s="79"/>
      <c r="D472" s="119" t="s">
        <v>38</v>
      </c>
      <c r="E472" s="119"/>
      <c r="F472" s="119"/>
      <c r="G472" s="119"/>
      <c r="H472" s="119"/>
      <c r="I472" s="118"/>
      <c r="J472" s="118"/>
      <c r="K472" s="79"/>
      <c r="L472" s="79"/>
      <c r="M472" s="79"/>
      <c r="N472" s="79"/>
      <c r="O472" s="79"/>
      <c r="P472" s="75">
        <f>SUM(P466:P469)</f>
        <v>1325.8204000000001</v>
      </c>
      <c r="Q472" s="79"/>
      <c r="R472" s="75">
        <f>SUM(R466:R469)</f>
        <v>29626.361191699994</v>
      </c>
    </row>
    <row r="473" spans="1:18" ht="15.6" x14ac:dyDescent="0.3">
      <c r="A473" s="118"/>
      <c r="B473" s="118"/>
      <c r="C473" s="79"/>
      <c r="D473" s="119" t="s">
        <v>39</v>
      </c>
      <c r="E473" s="119"/>
      <c r="F473" s="119"/>
      <c r="G473" s="119"/>
      <c r="H473" s="119"/>
      <c r="I473" s="118"/>
      <c r="J473" s="118"/>
      <c r="K473" s="79"/>
      <c r="L473" s="79"/>
      <c r="M473" s="79"/>
      <c r="N473" s="79"/>
      <c r="O473" s="79"/>
      <c r="P473" s="75">
        <f>P466+P468</f>
        <v>491.81810000000002</v>
      </c>
      <c r="Q473" s="79"/>
      <c r="R473" s="75">
        <f>R466+R468</f>
        <v>18569.576001699999</v>
      </c>
    </row>
    <row r="474" spans="1:18" ht="31.2" x14ac:dyDescent="0.3">
      <c r="A474" s="118"/>
      <c r="B474" s="118"/>
      <c r="C474" s="75" t="s">
        <v>40</v>
      </c>
      <c r="D474" s="119" t="s">
        <v>41</v>
      </c>
      <c r="E474" s="119"/>
      <c r="F474" s="119"/>
      <c r="G474" s="119"/>
      <c r="H474" s="119"/>
      <c r="I474" s="120" t="s">
        <v>42</v>
      </c>
      <c r="J474" s="120"/>
      <c r="K474" s="75">
        <v>112</v>
      </c>
      <c r="L474" s="79"/>
      <c r="M474" s="79"/>
      <c r="N474" s="79"/>
      <c r="O474" s="79"/>
      <c r="P474" s="75">
        <f>P473*K474/100</f>
        <v>550.83627200000001</v>
      </c>
      <c r="Q474" s="79"/>
      <c r="R474" s="75">
        <f>R473*K474/100</f>
        <v>20797.925121903998</v>
      </c>
    </row>
    <row r="475" spans="1:18" ht="31.2" x14ac:dyDescent="0.3">
      <c r="A475" s="118"/>
      <c r="B475" s="118"/>
      <c r="C475" s="75" t="s">
        <v>43</v>
      </c>
      <c r="D475" s="119" t="s">
        <v>44</v>
      </c>
      <c r="E475" s="119"/>
      <c r="F475" s="119"/>
      <c r="G475" s="119"/>
      <c r="H475" s="119"/>
      <c r="I475" s="120" t="s">
        <v>42</v>
      </c>
      <c r="J475" s="120"/>
      <c r="K475" s="75">
        <v>65</v>
      </c>
      <c r="L475" s="79"/>
      <c r="M475" s="79"/>
      <c r="N475" s="79"/>
      <c r="O475" s="79"/>
      <c r="P475" s="75">
        <f>P473*K475/100</f>
        <v>319.68176500000004</v>
      </c>
      <c r="Q475" s="79"/>
      <c r="R475" s="75">
        <f>R473*K475/100</f>
        <v>12070.224401104999</v>
      </c>
    </row>
    <row r="476" spans="1:18" ht="15.6" x14ac:dyDescent="0.3">
      <c r="A476" s="118"/>
      <c r="B476" s="118"/>
      <c r="C476" s="79"/>
      <c r="D476" s="119" t="s">
        <v>45</v>
      </c>
      <c r="E476" s="119"/>
      <c r="F476" s="119"/>
      <c r="G476" s="119"/>
      <c r="H476" s="119"/>
      <c r="I476" s="118"/>
      <c r="J476" s="118"/>
      <c r="K476" s="79"/>
      <c r="L476" s="79"/>
      <c r="M476" s="79"/>
      <c r="N476" s="79"/>
      <c r="O476" s="79"/>
      <c r="P476" s="75">
        <f>P475+P474+P472</f>
        <v>2196.3384370000003</v>
      </c>
      <c r="Q476" s="79"/>
      <c r="R476" s="75">
        <f>R475+R474+R472</f>
        <v>62494.510714708988</v>
      </c>
    </row>
    <row r="477" spans="1:18" ht="15.6" x14ac:dyDescent="0.3">
      <c r="A477" s="121" t="s">
        <v>524</v>
      </c>
      <c r="B477" s="121"/>
      <c r="C477" s="75" t="s">
        <v>521</v>
      </c>
      <c r="D477" s="120" t="s">
        <v>522</v>
      </c>
      <c r="E477" s="120"/>
      <c r="F477" s="120"/>
      <c r="G477" s="120"/>
      <c r="H477" s="120"/>
      <c r="I477" s="122" t="s">
        <v>76</v>
      </c>
      <c r="J477" s="122"/>
      <c r="K477" s="76">
        <v>1.32</v>
      </c>
      <c r="L477" s="77">
        <v>1</v>
      </c>
      <c r="M477" s="77">
        <f>K477</f>
        <v>1.32</v>
      </c>
      <c r="N477" s="78"/>
      <c r="O477" s="79"/>
      <c r="P477" s="79"/>
      <c r="Q477" s="79"/>
      <c r="R477" s="80"/>
    </row>
    <row r="478" spans="1:18" ht="15.6" x14ac:dyDescent="0.3">
      <c r="A478" s="118"/>
      <c r="B478" s="118"/>
      <c r="C478" s="81">
        <v>1</v>
      </c>
      <c r="D478" s="119" t="s">
        <v>32</v>
      </c>
      <c r="E478" s="119"/>
      <c r="F478" s="119"/>
      <c r="G478" s="119"/>
      <c r="H478" s="119"/>
      <c r="I478" s="118"/>
      <c r="J478" s="118"/>
      <c r="K478" s="79"/>
      <c r="L478" s="79"/>
      <c r="M478" s="79"/>
      <c r="N478" s="75">
        <v>254.57</v>
      </c>
      <c r="O478" s="79"/>
      <c r="P478" s="75">
        <f>M477*N478</f>
        <v>336.0324</v>
      </c>
      <c r="Q478" s="75">
        <v>37.756999999999998</v>
      </c>
      <c r="R478" s="75">
        <f>P478*Q478</f>
        <v>12687.575326799999</v>
      </c>
    </row>
    <row r="479" spans="1:18" ht="15.6" x14ac:dyDescent="0.3">
      <c r="A479" s="118"/>
      <c r="B479" s="118"/>
      <c r="C479" s="81">
        <v>3</v>
      </c>
      <c r="D479" s="119" t="s">
        <v>33</v>
      </c>
      <c r="E479" s="119"/>
      <c r="F479" s="119"/>
      <c r="G479" s="119"/>
      <c r="H479" s="119"/>
      <c r="I479" s="118"/>
      <c r="J479" s="118"/>
      <c r="K479" s="79"/>
      <c r="L479" s="79"/>
      <c r="M479" s="79"/>
      <c r="N479" s="75">
        <v>91.05</v>
      </c>
      <c r="O479" s="79"/>
      <c r="P479" s="75">
        <f>N479*M477</f>
        <v>120.18600000000001</v>
      </c>
      <c r="Q479" s="82">
        <v>21.128</v>
      </c>
      <c r="R479" s="75">
        <f>P479*Q479</f>
        <v>2539.289808</v>
      </c>
    </row>
    <row r="480" spans="1:18" ht="15.6" x14ac:dyDescent="0.3">
      <c r="A480" s="118"/>
      <c r="B480" s="118"/>
      <c r="C480" s="81">
        <v>2</v>
      </c>
      <c r="D480" s="119" t="s">
        <v>34</v>
      </c>
      <c r="E480" s="119"/>
      <c r="F480" s="119"/>
      <c r="G480" s="119"/>
      <c r="H480" s="119"/>
      <c r="I480" s="118"/>
      <c r="J480" s="118"/>
      <c r="K480" s="79"/>
      <c r="L480" s="79"/>
      <c r="M480" s="79"/>
      <c r="N480" s="75">
        <v>2.09</v>
      </c>
      <c r="O480" s="79"/>
      <c r="P480" s="75">
        <f>N480*M477</f>
        <v>2.7587999999999999</v>
      </c>
      <c r="Q480" s="75">
        <v>37.756999999999998</v>
      </c>
      <c r="R480" s="75">
        <f>P480*Q480</f>
        <v>104.16401159999999</v>
      </c>
    </row>
    <row r="481" spans="1:18" ht="15.6" x14ac:dyDescent="0.3">
      <c r="A481" s="118"/>
      <c r="B481" s="118"/>
      <c r="C481" s="81">
        <v>4</v>
      </c>
      <c r="D481" s="119" t="s">
        <v>35</v>
      </c>
      <c r="E481" s="119"/>
      <c r="F481" s="119"/>
      <c r="G481" s="119"/>
      <c r="H481" s="119"/>
      <c r="I481" s="118"/>
      <c r="J481" s="118"/>
      <c r="K481" s="79"/>
      <c r="L481" s="79"/>
      <c r="M481" s="79"/>
      <c r="N481" s="75">
        <v>2234.69</v>
      </c>
      <c r="O481" s="79"/>
      <c r="P481" s="75">
        <f>N481*M477</f>
        <v>2949.7908000000002</v>
      </c>
      <c r="Q481" s="75">
        <v>13.002000000000001</v>
      </c>
      <c r="R481" s="75">
        <f>P481*Q481</f>
        <v>38353.179981600006</v>
      </c>
    </row>
    <row r="482" spans="1:18" ht="15.6" x14ac:dyDescent="0.3">
      <c r="A482" s="118"/>
      <c r="B482" s="118"/>
      <c r="C482" s="79"/>
      <c r="D482" s="119" t="s">
        <v>36</v>
      </c>
      <c r="E482" s="119"/>
      <c r="F482" s="119"/>
      <c r="G482" s="119"/>
      <c r="H482" s="119"/>
      <c r="I482" s="118"/>
      <c r="J482" s="118"/>
      <c r="K482" s="75">
        <v>28.38</v>
      </c>
      <c r="L482" s="79"/>
      <c r="M482" s="75">
        <f>K482*M477</f>
        <v>37.461599999999997</v>
      </c>
      <c r="N482" s="79"/>
      <c r="O482" s="79"/>
      <c r="P482" s="79"/>
      <c r="Q482" s="79"/>
      <c r="R482" s="80"/>
    </row>
    <row r="483" spans="1:18" ht="15.6" x14ac:dyDescent="0.3">
      <c r="A483" s="118"/>
      <c r="B483" s="118"/>
      <c r="C483" s="79"/>
      <c r="D483" s="119" t="s">
        <v>37</v>
      </c>
      <c r="E483" s="119"/>
      <c r="F483" s="119"/>
      <c r="G483" s="119"/>
      <c r="H483" s="119"/>
      <c r="I483" s="118"/>
      <c r="J483" s="118"/>
      <c r="K483" s="75">
        <v>0.18</v>
      </c>
      <c r="L483" s="79"/>
      <c r="M483" s="75">
        <f>K483*M477</f>
        <v>0.23760000000000001</v>
      </c>
      <c r="N483" s="79"/>
      <c r="O483" s="79"/>
      <c r="P483" s="79"/>
      <c r="Q483" s="79"/>
      <c r="R483" s="80"/>
    </row>
    <row r="484" spans="1:18" ht="15.6" x14ac:dyDescent="0.3">
      <c r="A484" s="118"/>
      <c r="B484" s="118"/>
      <c r="C484" s="79"/>
      <c r="D484" s="119" t="s">
        <v>38</v>
      </c>
      <c r="E484" s="119"/>
      <c r="F484" s="119"/>
      <c r="G484" s="119"/>
      <c r="H484" s="119"/>
      <c r="I484" s="118"/>
      <c r="J484" s="118"/>
      <c r="K484" s="79"/>
      <c r="L484" s="79"/>
      <c r="M484" s="79"/>
      <c r="N484" s="79"/>
      <c r="O484" s="79"/>
      <c r="P484" s="75">
        <f>SUM(P478:P481)</f>
        <v>3408.768</v>
      </c>
      <c r="Q484" s="79"/>
      <c r="R484" s="75">
        <f>SUM(R478:R481)</f>
        <v>53684.209128000002</v>
      </c>
    </row>
    <row r="485" spans="1:18" ht="15.6" x14ac:dyDescent="0.3">
      <c r="A485" s="118"/>
      <c r="B485" s="118"/>
      <c r="C485" s="79"/>
      <c r="D485" s="119" t="s">
        <v>39</v>
      </c>
      <c r="E485" s="119"/>
      <c r="F485" s="119"/>
      <c r="G485" s="119"/>
      <c r="H485" s="119"/>
      <c r="I485" s="118"/>
      <c r="J485" s="118"/>
      <c r="K485" s="79"/>
      <c r="L485" s="79"/>
      <c r="M485" s="79"/>
      <c r="N485" s="79"/>
      <c r="O485" s="79"/>
      <c r="P485" s="75">
        <f>P478+P480</f>
        <v>338.7912</v>
      </c>
      <c r="Q485" s="79"/>
      <c r="R485" s="75">
        <f>R478+R480</f>
        <v>12791.739338399999</v>
      </c>
    </row>
    <row r="486" spans="1:18" ht="31.2" x14ac:dyDescent="0.3">
      <c r="A486" s="118"/>
      <c r="B486" s="118"/>
      <c r="C486" s="75" t="s">
        <v>40</v>
      </c>
      <c r="D486" s="119" t="s">
        <v>41</v>
      </c>
      <c r="E486" s="119"/>
      <c r="F486" s="119"/>
      <c r="G486" s="119"/>
      <c r="H486" s="119"/>
      <c r="I486" s="120" t="s">
        <v>42</v>
      </c>
      <c r="J486" s="120"/>
      <c r="K486" s="75">
        <v>112</v>
      </c>
      <c r="L486" s="79"/>
      <c r="M486" s="79"/>
      <c r="N486" s="79"/>
      <c r="O486" s="79"/>
      <c r="P486" s="75">
        <f>P485*K486/100</f>
        <v>379.446144</v>
      </c>
      <c r="Q486" s="79"/>
      <c r="R486" s="75">
        <f>R485*K486/100</f>
        <v>14326.748059007998</v>
      </c>
    </row>
    <row r="487" spans="1:18" ht="31.2" x14ac:dyDescent="0.3">
      <c r="A487" s="118"/>
      <c r="B487" s="118"/>
      <c r="C487" s="75" t="s">
        <v>43</v>
      </c>
      <c r="D487" s="119" t="s">
        <v>44</v>
      </c>
      <c r="E487" s="119"/>
      <c r="F487" s="119"/>
      <c r="G487" s="119"/>
      <c r="H487" s="119"/>
      <c r="I487" s="120" t="s">
        <v>42</v>
      </c>
      <c r="J487" s="120"/>
      <c r="K487" s="75">
        <v>65</v>
      </c>
      <c r="L487" s="79"/>
      <c r="M487" s="79"/>
      <c r="N487" s="79"/>
      <c r="O487" s="79"/>
      <c r="P487" s="75">
        <f>P485*K487/100</f>
        <v>220.21428</v>
      </c>
      <c r="Q487" s="79"/>
      <c r="R487" s="75">
        <f>R485*K487/100</f>
        <v>8314.630569959998</v>
      </c>
    </row>
    <row r="488" spans="1:18" ht="15.6" x14ac:dyDescent="0.3">
      <c r="A488" s="118"/>
      <c r="B488" s="118"/>
      <c r="C488" s="79"/>
      <c r="D488" s="119" t="s">
        <v>45</v>
      </c>
      <c r="E488" s="119"/>
      <c r="F488" s="119"/>
      <c r="G488" s="119"/>
      <c r="H488" s="119"/>
      <c r="I488" s="118"/>
      <c r="J488" s="118"/>
      <c r="K488" s="79"/>
      <c r="L488" s="79"/>
      <c r="M488" s="79"/>
      <c r="N488" s="79"/>
      <c r="O488" s="79"/>
      <c r="P488" s="75">
        <f>P487+P486+P484</f>
        <v>4008.4284240000002</v>
      </c>
      <c r="Q488" s="79"/>
      <c r="R488" s="75">
        <f>R487+R486+R484</f>
        <v>76325.587756968001</v>
      </c>
    </row>
    <row r="489" spans="1:18" ht="15.6" x14ac:dyDescent="0.3">
      <c r="A489" s="121" t="s">
        <v>525</v>
      </c>
      <c r="B489" s="121"/>
      <c r="C489" s="75" t="s">
        <v>139</v>
      </c>
      <c r="D489" s="120" t="s">
        <v>140</v>
      </c>
      <c r="E489" s="120"/>
      <c r="F489" s="120"/>
      <c r="G489" s="120"/>
      <c r="H489" s="120"/>
      <c r="I489" s="122" t="s">
        <v>76</v>
      </c>
      <c r="J489" s="122"/>
      <c r="K489" s="76">
        <v>2.13</v>
      </c>
      <c r="L489" s="77">
        <v>1</v>
      </c>
      <c r="M489" s="77">
        <f>K489</f>
        <v>2.13</v>
      </c>
      <c r="N489" s="78"/>
      <c r="O489" s="79"/>
      <c r="P489" s="79"/>
      <c r="Q489" s="79"/>
      <c r="R489" s="80"/>
    </row>
    <row r="490" spans="1:18" ht="15.6" x14ac:dyDescent="0.3">
      <c r="A490" s="118"/>
      <c r="B490" s="118"/>
      <c r="C490" s="81">
        <v>1</v>
      </c>
      <c r="D490" s="119" t="s">
        <v>32</v>
      </c>
      <c r="E490" s="119"/>
      <c r="F490" s="119"/>
      <c r="G490" s="119"/>
      <c r="H490" s="119"/>
      <c r="I490" s="118"/>
      <c r="J490" s="118"/>
      <c r="K490" s="79"/>
      <c r="L490" s="79"/>
      <c r="M490" s="79"/>
      <c r="N490" s="75">
        <v>313.70999999999998</v>
      </c>
      <c r="O490" s="79"/>
      <c r="P490" s="75">
        <f>M489*N490</f>
        <v>668.20229999999992</v>
      </c>
      <c r="Q490" s="75">
        <v>37.756999999999998</v>
      </c>
      <c r="R490" s="75">
        <f>P490*Q490</f>
        <v>25229.314241099997</v>
      </c>
    </row>
    <row r="491" spans="1:18" ht="15.6" x14ac:dyDescent="0.3">
      <c r="A491" s="118"/>
      <c r="B491" s="118"/>
      <c r="C491" s="81">
        <v>3</v>
      </c>
      <c r="D491" s="119" t="s">
        <v>33</v>
      </c>
      <c r="E491" s="119"/>
      <c r="F491" s="119"/>
      <c r="G491" s="119"/>
      <c r="H491" s="119"/>
      <c r="I491" s="118"/>
      <c r="J491" s="118"/>
      <c r="K491" s="79"/>
      <c r="L491" s="79"/>
      <c r="M491" s="79"/>
      <c r="N491" s="75">
        <v>44.24</v>
      </c>
      <c r="O491" s="79"/>
      <c r="P491" s="75">
        <f>N491*M489</f>
        <v>94.231200000000001</v>
      </c>
      <c r="Q491" s="82">
        <v>21.128</v>
      </c>
      <c r="R491" s="75">
        <f>P491*Q491</f>
        <v>1990.9167936000001</v>
      </c>
    </row>
    <row r="492" spans="1:18" ht="15.6" x14ac:dyDescent="0.3">
      <c r="A492" s="118"/>
      <c r="B492" s="118"/>
      <c r="C492" s="81">
        <v>2</v>
      </c>
      <c r="D492" s="119" t="s">
        <v>34</v>
      </c>
      <c r="E492" s="119"/>
      <c r="F492" s="119"/>
      <c r="G492" s="119"/>
      <c r="H492" s="119"/>
      <c r="I492" s="118"/>
      <c r="J492" s="118"/>
      <c r="K492" s="79"/>
      <c r="L492" s="79"/>
      <c r="M492" s="79"/>
      <c r="N492" s="75">
        <v>14.73</v>
      </c>
      <c r="O492" s="79"/>
      <c r="P492" s="75">
        <f>N492*M489</f>
        <v>31.3749</v>
      </c>
      <c r="Q492" s="75">
        <v>37.756999999999998</v>
      </c>
      <c r="R492" s="75">
        <f>P492*Q492</f>
        <v>1184.6220992999999</v>
      </c>
    </row>
    <row r="493" spans="1:18" ht="15.6" x14ac:dyDescent="0.3">
      <c r="A493" s="118"/>
      <c r="B493" s="118"/>
      <c r="C493" s="81">
        <v>4</v>
      </c>
      <c r="D493" s="119" t="s">
        <v>35</v>
      </c>
      <c r="E493" s="119"/>
      <c r="F493" s="119"/>
      <c r="G493" s="119"/>
      <c r="H493" s="119"/>
      <c r="I493" s="118"/>
      <c r="J493" s="118"/>
      <c r="K493" s="79"/>
      <c r="L493" s="79"/>
      <c r="M493" s="79"/>
      <c r="N493" s="75">
        <v>1127.07</v>
      </c>
      <c r="O493" s="79"/>
      <c r="P493" s="75">
        <f>N493*M489</f>
        <v>2400.6590999999999</v>
      </c>
      <c r="Q493" s="75">
        <v>13.002000000000001</v>
      </c>
      <c r="R493" s="75">
        <f>P493*Q493</f>
        <v>31213.369618199999</v>
      </c>
    </row>
    <row r="494" spans="1:18" ht="15.6" x14ac:dyDescent="0.3">
      <c r="A494" s="118"/>
      <c r="B494" s="118"/>
      <c r="C494" s="79"/>
      <c r="D494" s="119" t="s">
        <v>36</v>
      </c>
      <c r="E494" s="119"/>
      <c r="F494" s="119"/>
      <c r="G494" s="119"/>
      <c r="H494" s="119"/>
      <c r="I494" s="118"/>
      <c r="J494" s="118"/>
      <c r="K494" s="75">
        <v>39.51</v>
      </c>
      <c r="L494" s="79"/>
      <c r="M494" s="75">
        <f>K494*M489</f>
        <v>84.156299999999987</v>
      </c>
      <c r="N494" s="79"/>
      <c r="O494" s="79"/>
      <c r="P494" s="79"/>
      <c r="Q494" s="79"/>
      <c r="R494" s="80"/>
    </row>
    <row r="495" spans="1:18" ht="15.6" x14ac:dyDescent="0.3">
      <c r="A495" s="118"/>
      <c r="B495" s="118"/>
      <c r="C495" s="79"/>
      <c r="D495" s="119" t="s">
        <v>37</v>
      </c>
      <c r="E495" s="119"/>
      <c r="F495" s="119"/>
      <c r="G495" s="119"/>
      <c r="H495" s="119"/>
      <c r="I495" s="118"/>
      <c r="J495" s="118"/>
      <c r="K495" s="75">
        <v>1.27</v>
      </c>
      <c r="L495" s="79"/>
      <c r="M495" s="75">
        <f>K495*M489</f>
        <v>2.7050999999999998</v>
      </c>
      <c r="N495" s="79"/>
      <c r="O495" s="79"/>
      <c r="P495" s="79"/>
      <c r="Q495" s="79"/>
      <c r="R495" s="80"/>
    </row>
    <row r="496" spans="1:18" ht="15.6" x14ac:dyDescent="0.3">
      <c r="A496" s="118"/>
      <c r="B496" s="118"/>
      <c r="C496" s="79"/>
      <c r="D496" s="119" t="s">
        <v>38</v>
      </c>
      <c r="E496" s="119"/>
      <c r="F496" s="119"/>
      <c r="G496" s="119"/>
      <c r="H496" s="119"/>
      <c r="I496" s="118"/>
      <c r="J496" s="118"/>
      <c r="K496" s="79"/>
      <c r="L496" s="79"/>
      <c r="M496" s="79"/>
      <c r="N496" s="79"/>
      <c r="O496" s="79"/>
      <c r="P496" s="75">
        <f>SUM(P490:P493)</f>
        <v>3194.4674999999997</v>
      </c>
      <c r="Q496" s="79"/>
      <c r="R496" s="75">
        <f>SUM(R490:R493)</f>
        <v>59618.222752199996</v>
      </c>
    </row>
    <row r="497" spans="1:18" ht="15.6" x14ac:dyDescent="0.3">
      <c r="A497" s="118"/>
      <c r="B497" s="118"/>
      <c r="C497" s="79"/>
      <c r="D497" s="119" t="s">
        <v>39</v>
      </c>
      <c r="E497" s="119"/>
      <c r="F497" s="119"/>
      <c r="G497" s="119"/>
      <c r="H497" s="119"/>
      <c r="I497" s="118"/>
      <c r="J497" s="118"/>
      <c r="K497" s="79"/>
      <c r="L497" s="79"/>
      <c r="M497" s="79"/>
      <c r="N497" s="79"/>
      <c r="O497" s="79"/>
      <c r="P497" s="75">
        <f>P490+P492</f>
        <v>699.57719999999995</v>
      </c>
      <c r="Q497" s="79"/>
      <c r="R497" s="75">
        <f>R490+R492</f>
        <v>26413.936340399996</v>
      </c>
    </row>
    <row r="498" spans="1:18" ht="31.2" x14ac:dyDescent="0.3">
      <c r="A498" s="118"/>
      <c r="B498" s="118"/>
      <c r="C498" s="75" t="s">
        <v>40</v>
      </c>
      <c r="D498" s="119" t="s">
        <v>41</v>
      </c>
      <c r="E498" s="119"/>
      <c r="F498" s="119"/>
      <c r="G498" s="119"/>
      <c r="H498" s="119"/>
      <c r="I498" s="120" t="s">
        <v>42</v>
      </c>
      <c r="J498" s="120"/>
      <c r="K498" s="75">
        <v>112</v>
      </c>
      <c r="L498" s="79"/>
      <c r="M498" s="79"/>
      <c r="N498" s="79"/>
      <c r="O498" s="79"/>
      <c r="P498" s="75">
        <f>P497*K498/100</f>
        <v>783.52646400000003</v>
      </c>
      <c r="Q498" s="79"/>
      <c r="R498" s="75">
        <f>R497*K498/100</f>
        <v>29583.608701247998</v>
      </c>
    </row>
    <row r="499" spans="1:18" ht="31.2" x14ac:dyDescent="0.3">
      <c r="A499" s="118"/>
      <c r="B499" s="118"/>
      <c r="C499" s="75" t="s">
        <v>43</v>
      </c>
      <c r="D499" s="119" t="s">
        <v>44</v>
      </c>
      <c r="E499" s="119"/>
      <c r="F499" s="119"/>
      <c r="G499" s="119"/>
      <c r="H499" s="119"/>
      <c r="I499" s="120" t="s">
        <v>42</v>
      </c>
      <c r="J499" s="120"/>
      <c r="K499" s="75">
        <v>65</v>
      </c>
      <c r="L499" s="79"/>
      <c r="M499" s="79"/>
      <c r="N499" s="79"/>
      <c r="O499" s="79"/>
      <c r="P499" s="75">
        <f>P497*K499/100</f>
        <v>454.72517999999997</v>
      </c>
      <c r="Q499" s="79"/>
      <c r="R499" s="75">
        <f>R497*K499/100</f>
        <v>17169.058621259999</v>
      </c>
    </row>
    <row r="500" spans="1:18" ht="15.6" x14ac:dyDescent="0.3">
      <c r="A500" s="118"/>
      <c r="B500" s="118"/>
      <c r="C500" s="79"/>
      <c r="D500" s="119" t="s">
        <v>45</v>
      </c>
      <c r="E500" s="119"/>
      <c r="F500" s="119"/>
      <c r="G500" s="119"/>
      <c r="H500" s="119"/>
      <c r="I500" s="118"/>
      <c r="J500" s="118"/>
      <c r="K500" s="79"/>
      <c r="L500" s="79"/>
      <c r="M500" s="79"/>
      <c r="N500" s="79"/>
      <c r="O500" s="79"/>
      <c r="P500" s="75">
        <f>P499+P498+P496</f>
        <v>4432.7191439999997</v>
      </c>
      <c r="Q500" s="79"/>
      <c r="R500" s="75">
        <f>R499+R498+R496</f>
        <v>106370.890074708</v>
      </c>
    </row>
    <row r="501" spans="1:18" ht="15.6" x14ac:dyDescent="0.3">
      <c r="A501" s="121" t="s">
        <v>530</v>
      </c>
      <c r="B501" s="121"/>
      <c r="C501" s="75" t="s">
        <v>139</v>
      </c>
      <c r="D501" s="120" t="s">
        <v>529</v>
      </c>
      <c r="E501" s="120"/>
      <c r="F501" s="120"/>
      <c r="G501" s="120"/>
      <c r="H501" s="120"/>
      <c r="I501" s="122" t="s">
        <v>76</v>
      </c>
      <c r="J501" s="122"/>
      <c r="K501" s="76">
        <v>2.13</v>
      </c>
      <c r="L501" s="77">
        <v>1</v>
      </c>
      <c r="M501" s="77">
        <f>K501</f>
        <v>2.13</v>
      </c>
      <c r="N501" s="78"/>
      <c r="O501" s="79"/>
      <c r="P501" s="79"/>
      <c r="Q501" s="79"/>
      <c r="R501" s="80"/>
    </row>
    <row r="502" spans="1:18" ht="15.6" x14ac:dyDescent="0.3">
      <c r="A502" s="118"/>
      <c r="B502" s="118"/>
      <c r="C502" s="81">
        <v>1</v>
      </c>
      <c r="D502" s="119" t="s">
        <v>32</v>
      </c>
      <c r="E502" s="119"/>
      <c r="F502" s="119"/>
      <c r="G502" s="119"/>
      <c r="H502" s="119"/>
      <c r="I502" s="118"/>
      <c r="J502" s="118"/>
      <c r="K502" s="79"/>
      <c r="L502" s="79"/>
      <c r="M502" s="79"/>
      <c r="N502" s="75">
        <v>321.33</v>
      </c>
      <c r="O502" s="79"/>
      <c r="P502" s="75">
        <f>M501*N502</f>
        <v>684.4328999999999</v>
      </c>
      <c r="Q502" s="75">
        <v>37.756999999999998</v>
      </c>
      <c r="R502" s="75">
        <f>P502*Q502</f>
        <v>25842.133005299995</v>
      </c>
    </row>
    <row r="503" spans="1:18" ht="15.6" x14ac:dyDescent="0.3">
      <c r="A503" s="118"/>
      <c r="B503" s="118"/>
      <c r="C503" s="81">
        <v>3</v>
      </c>
      <c r="D503" s="119" t="s">
        <v>33</v>
      </c>
      <c r="E503" s="119"/>
      <c r="F503" s="119"/>
      <c r="G503" s="119"/>
      <c r="H503" s="119"/>
      <c r="I503" s="118"/>
      <c r="J503" s="118"/>
      <c r="K503" s="79"/>
      <c r="L503" s="79"/>
      <c r="M503" s="79"/>
      <c r="N503" s="75">
        <v>20.75</v>
      </c>
      <c r="O503" s="79"/>
      <c r="P503" s="75">
        <f>N503*M501</f>
        <v>44.197499999999998</v>
      </c>
      <c r="Q503" s="82">
        <v>21.128</v>
      </c>
      <c r="R503" s="75">
        <f>P503*Q503</f>
        <v>933.80477999999994</v>
      </c>
    </row>
    <row r="504" spans="1:18" ht="15.6" x14ac:dyDescent="0.3">
      <c r="A504" s="118"/>
      <c r="B504" s="118"/>
      <c r="C504" s="81">
        <v>2</v>
      </c>
      <c r="D504" s="119" t="s">
        <v>34</v>
      </c>
      <c r="E504" s="119"/>
      <c r="F504" s="119"/>
      <c r="G504" s="119"/>
      <c r="H504" s="119"/>
      <c r="I504" s="118"/>
      <c r="J504" s="118"/>
      <c r="K504" s="79"/>
      <c r="L504" s="79"/>
      <c r="M504" s="79"/>
      <c r="N504" s="75">
        <v>1.51</v>
      </c>
      <c r="O504" s="79"/>
      <c r="P504" s="75">
        <f>N504*M501</f>
        <v>3.2162999999999999</v>
      </c>
      <c r="Q504" s="75">
        <v>37.756999999999998</v>
      </c>
      <c r="R504" s="75">
        <f>P504*Q504</f>
        <v>121.43783909999999</v>
      </c>
    </row>
    <row r="505" spans="1:18" ht="15.6" x14ac:dyDescent="0.3">
      <c r="A505" s="118"/>
      <c r="B505" s="118"/>
      <c r="C505" s="81">
        <v>4</v>
      </c>
      <c r="D505" s="119" t="s">
        <v>35</v>
      </c>
      <c r="E505" s="119"/>
      <c r="F505" s="119"/>
      <c r="G505" s="119"/>
      <c r="H505" s="119"/>
      <c r="I505" s="118"/>
      <c r="J505" s="118"/>
      <c r="K505" s="79"/>
      <c r="L505" s="79"/>
      <c r="M505" s="79"/>
      <c r="N505" s="75">
        <v>10701.34</v>
      </c>
      <c r="O505" s="79"/>
      <c r="P505" s="75">
        <f>N505*M501</f>
        <v>22793.854199999998</v>
      </c>
      <c r="Q505" s="75">
        <v>13.002000000000001</v>
      </c>
      <c r="R505" s="75">
        <f>P505*Q505</f>
        <v>296365.6923084</v>
      </c>
    </row>
    <row r="506" spans="1:18" ht="15.6" x14ac:dyDescent="0.3">
      <c r="A506" s="118"/>
      <c r="B506" s="118"/>
      <c r="C506" s="79"/>
      <c r="D506" s="119" t="s">
        <v>36</v>
      </c>
      <c r="E506" s="119"/>
      <c r="F506" s="119"/>
      <c r="G506" s="119"/>
      <c r="H506" s="119"/>
      <c r="I506" s="118"/>
      <c r="J506" s="118"/>
      <c r="K506" s="75">
        <v>37.67</v>
      </c>
      <c r="L506" s="79"/>
      <c r="M506" s="75">
        <f>K506*M501</f>
        <v>80.237099999999998</v>
      </c>
      <c r="N506" s="79"/>
      <c r="O506" s="79"/>
      <c r="P506" s="79"/>
      <c r="Q506" s="79"/>
      <c r="R506" s="80"/>
    </row>
    <row r="507" spans="1:18" ht="15.6" x14ac:dyDescent="0.3">
      <c r="A507" s="118"/>
      <c r="B507" s="118"/>
      <c r="C507" s="79"/>
      <c r="D507" s="119" t="s">
        <v>37</v>
      </c>
      <c r="E507" s="119"/>
      <c r="F507" s="119"/>
      <c r="G507" s="119"/>
      <c r="H507" s="119"/>
      <c r="I507" s="118"/>
      <c r="J507" s="118"/>
      <c r="K507" s="75">
        <v>0.13</v>
      </c>
      <c r="L507" s="79"/>
      <c r="M507" s="75">
        <f>K507*M501</f>
        <v>0.27689999999999998</v>
      </c>
      <c r="N507" s="79"/>
      <c r="O507" s="79"/>
      <c r="P507" s="79"/>
      <c r="Q507" s="79"/>
      <c r="R507" s="80"/>
    </row>
    <row r="508" spans="1:18" ht="15.6" x14ac:dyDescent="0.3">
      <c r="A508" s="118"/>
      <c r="B508" s="118"/>
      <c r="C508" s="79"/>
      <c r="D508" s="119" t="s">
        <v>38</v>
      </c>
      <c r="E508" s="119"/>
      <c r="F508" s="119"/>
      <c r="G508" s="119"/>
      <c r="H508" s="119"/>
      <c r="I508" s="118"/>
      <c r="J508" s="118"/>
      <c r="K508" s="79"/>
      <c r="L508" s="79"/>
      <c r="M508" s="79"/>
      <c r="N508" s="79"/>
      <c r="O508" s="79"/>
      <c r="P508" s="75">
        <f>SUM(P502:P505)</f>
        <v>23525.700899999996</v>
      </c>
      <c r="Q508" s="79"/>
      <c r="R508" s="75">
        <f>SUM(R502:R505)</f>
        <v>323263.06793279998</v>
      </c>
    </row>
    <row r="509" spans="1:18" ht="15.6" x14ac:dyDescent="0.3">
      <c r="A509" s="118"/>
      <c r="B509" s="118"/>
      <c r="C509" s="79"/>
      <c r="D509" s="119" t="s">
        <v>39</v>
      </c>
      <c r="E509" s="119"/>
      <c r="F509" s="119"/>
      <c r="G509" s="119"/>
      <c r="H509" s="119"/>
      <c r="I509" s="118"/>
      <c r="J509" s="118"/>
      <c r="K509" s="79"/>
      <c r="L509" s="79"/>
      <c r="M509" s="79"/>
      <c r="N509" s="79"/>
      <c r="O509" s="79"/>
      <c r="P509" s="75">
        <f>P502+P504</f>
        <v>687.64919999999995</v>
      </c>
      <c r="Q509" s="79"/>
      <c r="R509" s="75">
        <f>R502+R504</f>
        <v>25963.570844399994</v>
      </c>
    </row>
    <row r="510" spans="1:18" ht="31.2" x14ac:dyDescent="0.3">
      <c r="A510" s="118"/>
      <c r="B510" s="118"/>
      <c r="C510" s="75" t="s">
        <v>40</v>
      </c>
      <c r="D510" s="119" t="s">
        <v>41</v>
      </c>
      <c r="E510" s="119"/>
      <c r="F510" s="119"/>
      <c r="G510" s="119"/>
      <c r="H510" s="119"/>
      <c r="I510" s="120" t="s">
        <v>42</v>
      </c>
      <c r="J510" s="120"/>
      <c r="K510" s="75">
        <v>112</v>
      </c>
      <c r="L510" s="79"/>
      <c r="M510" s="79"/>
      <c r="N510" s="79"/>
      <c r="O510" s="79"/>
      <c r="P510" s="75">
        <f>P509*K510/100</f>
        <v>770.16710399999999</v>
      </c>
      <c r="Q510" s="79"/>
      <c r="R510" s="75">
        <f>R509*K510/100</f>
        <v>29079.19934572799</v>
      </c>
    </row>
    <row r="511" spans="1:18" ht="31.2" x14ac:dyDescent="0.3">
      <c r="A511" s="118"/>
      <c r="B511" s="118"/>
      <c r="C511" s="75" t="s">
        <v>43</v>
      </c>
      <c r="D511" s="119" t="s">
        <v>44</v>
      </c>
      <c r="E511" s="119"/>
      <c r="F511" s="119"/>
      <c r="G511" s="119"/>
      <c r="H511" s="119"/>
      <c r="I511" s="120" t="s">
        <v>42</v>
      </c>
      <c r="J511" s="120"/>
      <c r="K511" s="75">
        <v>65</v>
      </c>
      <c r="L511" s="79"/>
      <c r="M511" s="79"/>
      <c r="N511" s="79"/>
      <c r="O511" s="79"/>
      <c r="P511" s="75">
        <f>P509*K511/100</f>
        <v>446.97197999999997</v>
      </c>
      <c r="Q511" s="79"/>
      <c r="R511" s="75">
        <f>R509*K511/100</f>
        <v>16876.321048859994</v>
      </c>
    </row>
    <row r="512" spans="1:18" ht="15.6" x14ac:dyDescent="0.3">
      <c r="A512" s="118"/>
      <c r="B512" s="118"/>
      <c r="C512" s="79"/>
      <c r="D512" s="119" t="s">
        <v>45</v>
      </c>
      <c r="E512" s="119"/>
      <c r="F512" s="119"/>
      <c r="G512" s="119"/>
      <c r="H512" s="119"/>
      <c r="I512" s="118"/>
      <c r="J512" s="118"/>
      <c r="K512" s="79"/>
      <c r="L512" s="79"/>
      <c r="M512" s="79"/>
      <c r="N512" s="79"/>
      <c r="O512" s="79"/>
      <c r="P512" s="75">
        <f>P511+P510+P508</f>
        <v>24742.839983999995</v>
      </c>
      <c r="Q512" s="79"/>
      <c r="R512" s="75">
        <f>R511+R510+R508</f>
        <v>369218.58832738799</v>
      </c>
    </row>
    <row r="513" spans="1:18" ht="15.6" x14ac:dyDescent="0.3">
      <c r="A513" s="123"/>
      <c r="B513" s="123"/>
      <c r="C513" s="79"/>
      <c r="D513" s="120" t="s">
        <v>142</v>
      </c>
      <c r="E513" s="120"/>
      <c r="F513" s="120"/>
      <c r="G513" s="120"/>
      <c r="H513" s="120"/>
      <c r="I513" s="123"/>
      <c r="J513" s="123"/>
      <c r="K513" s="79"/>
      <c r="L513" s="79"/>
      <c r="M513" s="79"/>
      <c r="N513" s="79"/>
      <c r="O513" s="79"/>
      <c r="P513" s="75">
        <f>P476+P500+P488+P512</f>
        <v>35380.325988999997</v>
      </c>
      <c r="Q513" s="79"/>
      <c r="R513" s="75">
        <f>R476+R500+R488+R512</f>
        <v>614409.57687377301</v>
      </c>
    </row>
    <row r="514" spans="1:18" ht="15.6" x14ac:dyDescent="0.3">
      <c r="A514" s="127" t="s">
        <v>143</v>
      </c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</row>
    <row r="515" spans="1:18" ht="15.6" x14ac:dyDescent="0.3">
      <c r="A515" s="121" t="s">
        <v>526</v>
      </c>
      <c r="B515" s="121"/>
      <c r="C515" s="75" t="s">
        <v>531</v>
      </c>
      <c r="D515" s="120" t="s">
        <v>532</v>
      </c>
      <c r="E515" s="120"/>
      <c r="F515" s="120"/>
      <c r="G515" s="120"/>
      <c r="H515" s="120"/>
      <c r="I515" s="122" t="s">
        <v>76</v>
      </c>
      <c r="J515" s="122"/>
      <c r="K515" s="76">
        <v>1.9</v>
      </c>
      <c r="L515" s="77">
        <v>1</v>
      </c>
      <c r="M515" s="77">
        <f>K515</f>
        <v>1.9</v>
      </c>
      <c r="N515" s="78"/>
      <c r="O515" s="79"/>
      <c r="P515" s="79"/>
      <c r="Q515" s="79"/>
      <c r="R515" s="80"/>
    </row>
    <row r="516" spans="1:18" ht="15.6" x14ac:dyDescent="0.3">
      <c r="A516" s="118"/>
      <c r="B516" s="118"/>
      <c r="C516" s="81">
        <v>1</v>
      </c>
      <c r="D516" s="119" t="s">
        <v>32</v>
      </c>
      <c r="E516" s="119"/>
      <c r="F516" s="119"/>
      <c r="G516" s="119"/>
      <c r="H516" s="119"/>
      <c r="I516" s="118"/>
      <c r="J516" s="118"/>
      <c r="K516" s="79"/>
      <c r="L516" s="79"/>
      <c r="M516" s="79"/>
      <c r="N516" s="75">
        <v>1162.23</v>
      </c>
      <c r="O516" s="79"/>
      <c r="P516" s="75">
        <f>M515*N516</f>
        <v>2208.2370000000001</v>
      </c>
      <c r="Q516" s="75">
        <v>37.756999999999998</v>
      </c>
      <c r="R516" s="75">
        <f>P516*Q516</f>
        <v>83376.404408999995</v>
      </c>
    </row>
    <row r="517" spans="1:18" ht="15.6" x14ac:dyDescent="0.3">
      <c r="A517" s="118"/>
      <c r="B517" s="118"/>
      <c r="C517" s="81">
        <v>3</v>
      </c>
      <c r="D517" s="119" t="s">
        <v>33</v>
      </c>
      <c r="E517" s="119"/>
      <c r="F517" s="119"/>
      <c r="G517" s="119"/>
      <c r="H517" s="119"/>
      <c r="I517" s="118"/>
      <c r="J517" s="118"/>
      <c r="K517" s="79"/>
      <c r="L517" s="79"/>
      <c r="M517" s="79"/>
      <c r="N517" s="75">
        <v>85.02</v>
      </c>
      <c r="O517" s="79"/>
      <c r="P517" s="75">
        <f>N517*M515</f>
        <v>161.53799999999998</v>
      </c>
      <c r="Q517" s="82">
        <v>21.128</v>
      </c>
      <c r="R517" s="75">
        <f>P517*Q517</f>
        <v>3412.9748639999998</v>
      </c>
    </row>
    <row r="518" spans="1:18" ht="15.6" x14ac:dyDescent="0.3">
      <c r="A518" s="118"/>
      <c r="B518" s="118"/>
      <c r="C518" s="81">
        <v>2</v>
      </c>
      <c r="D518" s="119" t="s">
        <v>34</v>
      </c>
      <c r="E518" s="119"/>
      <c r="F518" s="119"/>
      <c r="G518" s="119"/>
      <c r="H518" s="119"/>
      <c r="I518" s="118"/>
      <c r="J518" s="118"/>
      <c r="K518" s="79"/>
      <c r="L518" s="79"/>
      <c r="M518" s="79"/>
      <c r="N518" s="75">
        <v>52.43</v>
      </c>
      <c r="O518" s="79"/>
      <c r="P518" s="75">
        <f>N518*M515</f>
        <v>99.61699999999999</v>
      </c>
      <c r="Q518" s="75">
        <v>37.756999999999998</v>
      </c>
      <c r="R518" s="75">
        <f>P518*Q518</f>
        <v>3761.2390689999993</v>
      </c>
    </row>
    <row r="519" spans="1:18" ht="15.6" x14ac:dyDescent="0.3">
      <c r="A519" s="118"/>
      <c r="B519" s="118"/>
      <c r="C519" s="81">
        <v>4</v>
      </c>
      <c r="D519" s="119" t="s">
        <v>35</v>
      </c>
      <c r="E519" s="119"/>
      <c r="F519" s="119"/>
      <c r="G519" s="119"/>
      <c r="H519" s="119"/>
      <c r="I519" s="118"/>
      <c r="J519" s="118"/>
      <c r="K519" s="79"/>
      <c r="L519" s="79"/>
      <c r="M519" s="79"/>
      <c r="N519" s="75">
        <v>1366.88</v>
      </c>
      <c r="O519" s="79"/>
      <c r="P519" s="75">
        <f>N519*M515</f>
        <v>2597.0720000000001</v>
      </c>
      <c r="Q519" s="75">
        <v>13.002000000000001</v>
      </c>
      <c r="R519" s="75">
        <f>P519*Q519</f>
        <v>33767.130144000002</v>
      </c>
    </row>
    <row r="520" spans="1:18" ht="15.6" x14ac:dyDescent="0.3">
      <c r="A520" s="118"/>
      <c r="B520" s="118"/>
      <c r="C520" s="79"/>
      <c r="D520" s="119" t="s">
        <v>36</v>
      </c>
      <c r="E520" s="119"/>
      <c r="F520" s="119"/>
      <c r="G520" s="119"/>
      <c r="H520" s="119"/>
      <c r="I520" s="118"/>
      <c r="J520" s="118"/>
      <c r="K520" s="75">
        <v>117.16</v>
      </c>
      <c r="L520" s="79"/>
      <c r="M520" s="75">
        <f>K520*M515</f>
        <v>222.60399999999998</v>
      </c>
      <c r="N520" s="79"/>
      <c r="O520" s="79"/>
      <c r="P520" s="79"/>
      <c r="Q520" s="79"/>
      <c r="R520" s="80"/>
    </row>
    <row r="521" spans="1:18" ht="15.6" x14ac:dyDescent="0.3">
      <c r="A521" s="118"/>
      <c r="B521" s="118"/>
      <c r="C521" s="79"/>
      <c r="D521" s="119" t="s">
        <v>37</v>
      </c>
      <c r="E521" s="119"/>
      <c r="F521" s="119"/>
      <c r="G521" s="119"/>
      <c r="H521" s="119"/>
      <c r="I521" s="118"/>
      <c r="J521" s="118"/>
      <c r="K521" s="75">
        <v>5.15</v>
      </c>
      <c r="L521" s="79"/>
      <c r="M521" s="75">
        <f>K521*M515</f>
        <v>9.7850000000000001</v>
      </c>
      <c r="N521" s="79"/>
      <c r="O521" s="79"/>
      <c r="P521" s="79"/>
      <c r="Q521" s="79"/>
      <c r="R521" s="80"/>
    </row>
    <row r="522" spans="1:18" ht="15.6" x14ac:dyDescent="0.3">
      <c r="A522" s="118"/>
      <c r="B522" s="118"/>
      <c r="C522" s="79"/>
      <c r="D522" s="119" t="s">
        <v>38</v>
      </c>
      <c r="E522" s="119"/>
      <c r="F522" s="119"/>
      <c r="G522" s="119"/>
      <c r="H522" s="119"/>
      <c r="I522" s="118"/>
      <c r="J522" s="118"/>
      <c r="K522" s="79"/>
      <c r="L522" s="79"/>
      <c r="M522" s="79"/>
      <c r="N522" s="79"/>
      <c r="O522" s="79"/>
      <c r="P522" s="75">
        <f>SUM(P516:P519)</f>
        <v>5066.4639999999999</v>
      </c>
      <c r="Q522" s="79"/>
      <c r="R522" s="75">
        <f>SUM(R516:R519)</f>
        <v>124317.748486</v>
      </c>
    </row>
    <row r="523" spans="1:18" ht="15.6" x14ac:dyDescent="0.3">
      <c r="A523" s="118"/>
      <c r="B523" s="118"/>
      <c r="C523" s="79"/>
      <c r="D523" s="119" t="s">
        <v>39</v>
      </c>
      <c r="E523" s="119"/>
      <c r="F523" s="119"/>
      <c r="G523" s="119"/>
      <c r="H523" s="119"/>
      <c r="I523" s="118"/>
      <c r="J523" s="118"/>
      <c r="K523" s="79"/>
      <c r="L523" s="79"/>
      <c r="M523" s="79"/>
      <c r="N523" s="79"/>
      <c r="O523" s="79"/>
      <c r="P523" s="75">
        <f>P516+P518</f>
        <v>2307.8540000000003</v>
      </c>
      <c r="Q523" s="79"/>
      <c r="R523" s="75">
        <f>R516+R518</f>
        <v>87137.643477999998</v>
      </c>
    </row>
    <row r="524" spans="1:18" ht="31.2" x14ac:dyDescent="0.3">
      <c r="A524" s="118"/>
      <c r="B524" s="118"/>
      <c r="C524" s="75" t="s">
        <v>40</v>
      </c>
      <c r="D524" s="119" t="s">
        <v>41</v>
      </c>
      <c r="E524" s="119"/>
      <c r="F524" s="119"/>
      <c r="G524" s="119"/>
      <c r="H524" s="119"/>
      <c r="I524" s="120" t="s">
        <v>42</v>
      </c>
      <c r="J524" s="120"/>
      <c r="K524" s="75">
        <v>100</v>
      </c>
      <c r="L524" s="79"/>
      <c r="M524" s="79"/>
      <c r="N524" s="79"/>
      <c r="O524" s="79"/>
      <c r="P524" s="75">
        <f>P523*K524/100</f>
        <v>2307.8540000000003</v>
      </c>
      <c r="Q524" s="79"/>
      <c r="R524" s="75">
        <f>R523*K524/100</f>
        <v>87137.643477999998</v>
      </c>
    </row>
    <row r="525" spans="1:18" ht="31.2" x14ac:dyDescent="0.3">
      <c r="A525" s="118"/>
      <c r="B525" s="118"/>
      <c r="C525" s="75" t="s">
        <v>43</v>
      </c>
      <c r="D525" s="119" t="s">
        <v>44</v>
      </c>
      <c r="E525" s="119"/>
      <c r="F525" s="119"/>
      <c r="G525" s="119"/>
      <c r="H525" s="119"/>
      <c r="I525" s="120" t="s">
        <v>42</v>
      </c>
      <c r="J525" s="120"/>
      <c r="K525" s="75">
        <v>49</v>
      </c>
      <c r="L525" s="79"/>
      <c r="M525" s="79"/>
      <c r="N525" s="79"/>
      <c r="O525" s="79"/>
      <c r="P525" s="75">
        <f>P523*K525/100</f>
        <v>1130.8484600000002</v>
      </c>
      <c r="Q525" s="79"/>
      <c r="R525" s="75">
        <f>R523*K525/100</f>
        <v>42697.445304220004</v>
      </c>
    </row>
    <row r="526" spans="1:18" ht="15.6" x14ac:dyDescent="0.3">
      <c r="A526" s="118"/>
      <c r="B526" s="118"/>
      <c r="C526" s="79"/>
      <c r="D526" s="119" t="s">
        <v>45</v>
      </c>
      <c r="E526" s="119"/>
      <c r="F526" s="119"/>
      <c r="G526" s="119"/>
      <c r="H526" s="119"/>
      <c r="I526" s="118"/>
      <c r="J526" s="118"/>
      <c r="K526" s="79"/>
      <c r="L526" s="79"/>
      <c r="M526" s="79"/>
      <c r="N526" s="79"/>
      <c r="O526" s="79"/>
      <c r="P526" s="75">
        <f>P525+P524+P522</f>
        <v>8505.1664600000004</v>
      </c>
      <c r="Q526" s="79"/>
      <c r="R526" s="75">
        <f>R525+R524+R522</f>
        <v>254152.83726822</v>
      </c>
    </row>
    <row r="527" spans="1:18" ht="15.6" x14ac:dyDescent="0.3">
      <c r="A527" s="121" t="s">
        <v>527</v>
      </c>
      <c r="B527" s="121"/>
      <c r="C527" s="75" t="s">
        <v>533</v>
      </c>
      <c r="D527" s="120" t="s">
        <v>534</v>
      </c>
      <c r="E527" s="120"/>
      <c r="F527" s="120"/>
      <c r="G527" s="120"/>
      <c r="H527" s="120"/>
      <c r="I527" s="122" t="s">
        <v>76</v>
      </c>
      <c r="J527" s="122"/>
      <c r="K527" s="76">
        <v>1.3</v>
      </c>
      <c r="L527" s="77">
        <v>1</v>
      </c>
      <c r="M527" s="77">
        <f>K527</f>
        <v>1.3</v>
      </c>
      <c r="N527" s="78"/>
      <c r="O527" s="79"/>
      <c r="P527" s="79"/>
      <c r="Q527" s="79"/>
      <c r="R527" s="80"/>
    </row>
    <row r="528" spans="1:18" ht="15.6" x14ac:dyDescent="0.3">
      <c r="A528" s="118"/>
      <c r="B528" s="118"/>
      <c r="C528" s="81">
        <v>1</v>
      </c>
      <c r="D528" s="119" t="s">
        <v>32</v>
      </c>
      <c r="E528" s="119"/>
      <c r="F528" s="119"/>
      <c r="G528" s="119"/>
      <c r="H528" s="119"/>
      <c r="I528" s="118"/>
      <c r="J528" s="118"/>
      <c r="K528" s="79"/>
      <c r="L528" s="79"/>
      <c r="M528" s="79"/>
      <c r="N528" s="75">
        <v>1219.76</v>
      </c>
      <c r="O528" s="79"/>
      <c r="P528" s="75">
        <f>M527*N528</f>
        <v>1585.6880000000001</v>
      </c>
      <c r="Q528" s="75">
        <v>37.756999999999998</v>
      </c>
      <c r="R528" s="75">
        <f>P528*Q528</f>
        <v>59870.821816000003</v>
      </c>
    </row>
    <row r="529" spans="1:18" ht="15.6" x14ac:dyDescent="0.3">
      <c r="A529" s="118"/>
      <c r="B529" s="118"/>
      <c r="C529" s="81">
        <v>3</v>
      </c>
      <c r="D529" s="119" t="s">
        <v>33</v>
      </c>
      <c r="E529" s="119"/>
      <c r="F529" s="119"/>
      <c r="G529" s="119"/>
      <c r="H529" s="119"/>
      <c r="I529" s="118"/>
      <c r="J529" s="118"/>
      <c r="K529" s="79"/>
      <c r="L529" s="79"/>
      <c r="M529" s="79"/>
      <c r="N529" s="75">
        <v>85.02</v>
      </c>
      <c r="O529" s="79"/>
      <c r="P529" s="75">
        <f>N529*M527</f>
        <v>110.526</v>
      </c>
      <c r="Q529" s="82">
        <v>21.128</v>
      </c>
      <c r="R529" s="75">
        <f>P529*Q529</f>
        <v>2335.1933279999998</v>
      </c>
    </row>
    <row r="530" spans="1:18" ht="15.6" x14ac:dyDescent="0.3">
      <c r="A530" s="118"/>
      <c r="B530" s="118"/>
      <c r="C530" s="81">
        <v>2</v>
      </c>
      <c r="D530" s="119" t="s">
        <v>34</v>
      </c>
      <c r="E530" s="119"/>
      <c r="F530" s="119"/>
      <c r="G530" s="119"/>
      <c r="H530" s="119"/>
      <c r="I530" s="118"/>
      <c r="J530" s="118"/>
      <c r="K530" s="79"/>
      <c r="L530" s="79"/>
      <c r="M530" s="79"/>
      <c r="N530" s="75">
        <v>52.43</v>
      </c>
      <c r="O530" s="79"/>
      <c r="P530" s="75">
        <f>N530*M527</f>
        <v>68.159000000000006</v>
      </c>
      <c r="Q530" s="75">
        <v>37.756999999999998</v>
      </c>
      <c r="R530" s="75">
        <f>P530*Q530</f>
        <v>2573.4793629999999</v>
      </c>
    </row>
    <row r="531" spans="1:18" ht="15.6" x14ac:dyDescent="0.3">
      <c r="A531" s="118"/>
      <c r="B531" s="118"/>
      <c r="C531" s="81">
        <v>4</v>
      </c>
      <c r="D531" s="119" t="s">
        <v>35</v>
      </c>
      <c r="E531" s="119"/>
      <c r="F531" s="119"/>
      <c r="G531" s="119"/>
      <c r="H531" s="119"/>
      <c r="I531" s="118"/>
      <c r="J531" s="118"/>
      <c r="K531" s="79"/>
      <c r="L531" s="79"/>
      <c r="M531" s="79"/>
      <c r="N531" s="75">
        <v>1396.6</v>
      </c>
      <c r="O531" s="79"/>
      <c r="P531" s="75">
        <f>N531*M527</f>
        <v>1815.58</v>
      </c>
      <c r="Q531" s="75">
        <v>13.002000000000001</v>
      </c>
      <c r="R531" s="75">
        <f>P531*Q531</f>
        <v>23606.171160000002</v>
      </c>
    </row>
    <row r="532" spans="1:18" ht="15.6" x14ac:dyDescent="0.3">
      <c r="A532" s="118"/>
      <c r="B532" s="118"/>
      <c r="C532" s="79"/>
      <c r="D532" s="119" t="s">
        <v>36</v>
      </c>
      <c r="E532" s="119"/>
      <c r="F532" s="119"/>
      <c r="G532" s="119"/>
      <c r="H532" s="119"/>
      <c r="I532" s="118"/>
      <c r="J532" s="118"/>
      <c r="K532" s="75">
        <v>122.96</v>
      </c>
      <c r="L532" s="79"/>
      <c r="M532" s="75">
        <f>K532*M527</f>
        <v>159.84799999999998</v>
      </c>
      <c r="N532" s="79"/>
      <c r="O532" s="79"/>
      <c r="P532" s="79"/>
      <c r="Q532" s="79"/>
      <c r="R532" s="80"/>
    </row>
    <row r="533" spans="1:18" ht="15.6" x14ac:dyDescent="0.3">
      <c r="A533" s="118"/>
      <c r="B533" s="118"/>
      <c r="C533" s="79"/>
      <c r="D533" s="119" t="s">
        <v>37</v>
      </c>
      <c r="E533" s="119"/>
      <c r="F533" s="119"/>
      <c r="G533" s="119"/>
      <c r="H533" s="119"/>
      <c r="I533" s="118"/>
      <c r="J533" s="118"/>
      <c r="K533" s="75">
        <v>5.15</v>
      </c>
      <c r="L533" s="79"/>
      <c r="M533" s="75">
        <f>K533*M527</f>
        <v>6.6950000000000003</v>
      </c>
      <c r="N533" s="79"/>
      <c r="O533" s="79"/>
      <c r="P533" s="79"/>
      <c r="Q533" s="79"/>
      <c r="R533" s="80"/>
    </row>
    <row r="534" spans="1:18" ht="15.6" x14ac:dyDescent="0.3">
      <c r="A534" s="118"/>
      <c r="B534" s="118"/>
      <c r="C534" s="79"/>
      <c r="D534" s="119" t="s">
        <v>38</v>
      </c>
      <c r="E534" s="119"/>
      <c r="F534" s="119"/>
      <c r="G534" s="119"/>
      <c r="H534" s="119"/>
      <c r="I534" s="118"/>
      <c r="J534" s="118"/>
      <c r="K534" s="79"/>
      <c r="L534" s="79"/>
      <c r="M534" s="79"/>
      <c r="N534" s="79"/>
      <c r="O534" s="79"/>
      <c r="P534" s="75">
        <f>SUM(P528:P531)</f>
        <v>3579.9530000000004</v>
      </c>
      <c r="Q534" s="79"/>
      <c r="R534" s="75">
        <f>SUM(R528:R531)</f>
        <v>88385.665667000008</v>
      </c>
    </row>
    <row r="535" spans="1:18" ht="15.6" x14ac:dyDescent="0.3">
      <c r="A535" s="118"/>
      <c r="B535" s="118"/>
      <c r="C535" s="79"/>
      <c r="D535" s="119" t="s">
        <v>39</v>
      </c>
      <c r="E535" s="119"/>
      <c r="F535" s="119"/>
      <c r="G535" s="119"/>
      <c r="H535" s="119"/>
      <c r="I535" s="118"/>
      <c r="J535" s="118"/>
      <c r="K535" s="79"/>
      <c r="L535" s="79"/>
      <c r="M535" s="79"/>
      <c r="N535" s="79"/>
      <c r="O535" s="79"/>
      <c r="P535" s="75">
        <f>P528+P530</f>
        <v>1653.8470000000002</v>
      </c>
      <c r="Q535" s="79"/>
      <c r="R535" s="75">
        <f>R528+R530</f>
        <v>62444.301179000002</v>
      </c>
    </row>
    <row r="536" spans="1:18" ht="31.2" x14ac:dyDescent="0.3">
      <c r="A536" s="118"/>
      <c r="B536" s="118"/>
      <c r="C536" s="75" t="s">
        <v>40</v>
      </c>
      <c r="D536" s="119" t="s">
        <v>41</v>
      </c>
      <c r="E536" s="119"/>
      <c r="F536" s="119"/>
      <c r="G536" s="119"/>
      <c r="H536" s="119"/>
      <c r="I536" s="120" t="s">
        <v>42</v>
      </c>
      <c r="J536" s="120"/>
      <c r="K536" s="75">
        <v>100</v>
      </c>
      <c r="L536" s="79"/>
      <c r="M536" s="79"/>
      <c r="N536" s="79"/>
      <c r="O536" s="79"/>
      <c r="P536" s="75">
        <f>P535*K536/100</f>
        <v>1653.8470000000002</v>
      </c>
      <c r="Q536" s="79"/>
      <c r="R536" s="75">
        <f>R535*K536/100</f>
        <v>62444.301179000002</v>
      </c>
    </row>
    <row r="537" spans="1:18" ht="31.2" x14ac:dyDescent="0.3">
      <c r="A537" s="118"/>
      <c r="B537" s="118"/>
      <c r="C537" s="75" t="s">
        <v>43</v>
      </c>
      <c r="D537" s="119" t="s">
        <v>44</v>
      </c>
      <c r="E537" s="119"/>
      <c r="F537" s="119"/>
      <c r="G537" s="119"/>
      <c r="H537" s="119"/>
      <c r="I537" s="120" t="s">
        <v>42</v>
      </c>
      <c r="J537" s="120"/>
      <c r="K537" s="75">
        <v>49</v>
      </c>
      <c r="L537" s="79"/>
      <c r="M537" s="79"/>
      <c r="N537" s="79"/>
      <c r="O537" s="79"/>
      <c r="P537" s="75">
        <f>P535*K537/100</f>
        <v>810.38503000000014</v>
      </c>
      <c r="Q537" s="79"/>
      <c r="R537" s="75">
        <f>R535*K537/100</f>
        <v>30597.707577710004</v>
      </c>
    </row>
    <row r="538" spans="1:18" ht="15.6" x14ac:dyDescent="0.3">
      <c r="A538" s="118"/>
      <c r="B538" s="118"/>
      <c r="C538" s="79"/>
      <c r="D538" s="119" t="s">
        <v>45</v>
      </c>
      <c r="E538" s="119"/>
      <c r="F538" s="119"/>
      <c r="G538" s="119"/>
      <c r="H538" s="119"/>
      <c r="I538" s="118"/>
      <c r="J538" s="118"/>
      <c r="K538" s="79"/>
      <c r="L538" s="79"/>
      <c r="M538" s="79"/>
      <c r="N538" s="79"/>
      <c r="O538" s="79"/>
      <c r="P538" s="75">
        <f>P537+P536+P534</f>
        <v>6044.1850300000006</v>
      </c>
      <c r="Q538" s="79"/>
      <c r="R538" s="75">
        <f>R537+R536+R534</f>
        <v>181427.67442371004</v>
      </c>
    </row>
    <row r="539" spans="1:18" ht="15.6" x14ac:dyDescent="0.3">
      <c r="A539" s="121" t="s">
        <v>528</v>
      </c>
      <c r="B539" s="121"/>
      <c r="C539" s="75" t="s">
        <v>146</v>
      </c>
      <c r="D539" s="120" t="s">
        <v>145</v>
      </c>
      <c r="E539" s="120"/>
      <c r="F539" s="120"/>
      <c r="G539" s="120"/>
      <c r="H539" s="120"/>
      <c r="I539" s="122" t="s">
        <v>76</v>
      </c>
      <c r="J539" s="122"/>
      <c r="K539" s="76">
        <v>7.4999999999999997E-2</v>
      </c>
      <c r="L539" s="77">
        <v>1</v>
      </c>
      <c r="M539" s="77">
        <f>K539</f>
        <v>7.4999999999999997E-2</v>
      </c>
      <c r="N539" s="78"/>
      <c r="O539" s="79"/>
      <c r="P539" s="79"/>
      <c r="Q539" s="79"/>
      <c r="R539" s="80"/>
    </row>
    <row r="540" spans="1:18" ht="15.6" x14ac:dyDescent="0.3">
      <c r="A540" s="118"/>
      <c r="B540" s="118"/>
      <c r="C540" s="81">
        <v>1</v>
      </c>
      <c r="D540" s="119" t="s">
        <v>32</v>
      </c>
      <c r="E540" s="119"/>
      <c r="F540" s="119"/>
      <c r="G540" s="119"/>
      <c r="H540" s="119"/>
      <c r="I540" s="118"/>
      <c r="J540" s="118"/>
      <c r="K540" s="79"/>
      <c r="L540" s="79"/>
      <c r="M540" s="79"/>
      <c r="N540" s="75">
        <v>806.9</v>
      </c>
      <c r="O540" s="79"/>
      <c r="P540" s="75">
        <f>M539*N540</f>
        <v>60.517499999999998</v>
      </c>
      <c r="Q540" s="75">
        <v>37.756999999999998</v>
      </c>
      <c r="R540" s="75">
        <f>P540*Q540</f>
        <v>2284.9592474999999</v>
      </c>
    </row>
    <row r="541" spans="1:18" ht="15.6" x14ac:dyDescent="0.3">
      <c r="A541" s="118"/>
      <c r="B541" s="118"/>
      <c r="C541" s="81">
        <v>3</v>
      </c>
      <c r="D541" s="119" t="s">
        <v>33</v>
      </c>
      <c r="E541" s="119"/>
      <c r="F541" s="119"/>
      <c r="G541" s="119"/>
      <c r="H541" s="119"/>
      <c r="I541" s="118"/>
      <c r="J541" s="118"/>
      <c r="K541" s="79"/>
      <c r="L541" s="79"/>
      <c r="M541" s="79"/>
      <c r="N541" s="75">
        <v>109.64</v>
      </c>
      <c r="O541" s="79"/>
      <c r="P541" s="75">
        <f>N541*M539</f>
        <v>8.222999999999999</v>
      </c>
      <c r="Q541" s="82">
        <v>21.128</v>
      </c>
      <c r="R541" s="75">
        <f>P541*Q541</f>
        <v>173.73554399999998</v>
      </c>
    </row>
    <row r="542" spans="1:18" ht="15.6" x14ac:dyDescent="0.3">
      <c r="A542" s="118"/>
      <c r="B542" s="118"/>
      <c r="C542" s="81">
        <v>2</v>
      </c>
      <c r="D542" s="119" t="s">
        <v>34</v>
      </c>
      <c r="E542" s="119"/>
      <c r="F542" s="119"/>
      <c r="G542" s="119"/>
      <c r="H542" s="119"/>
      <c r="I542" s="118"/>
      <c r="J542" s="118"/>
      <c r="K542" s="79"/>
      <c r="L542" s="79"/>
      <c r="M542" s="79"/>
      <c r="N542" s="75">
        <v>64.599999999999994</v>
      </c>
      <c r="O542" s="79"/>
      <c r="P542" s="75">
        <f>N542*M539</f>
        <v>4.8449999999999998</v>
      </c>
      <c r="Q542" s="75">
        <v>37.756999999999998</v>
      </c>
      <c r="R542" s="75">
        <f>P542*Q542</f>
        <v>182.93266499999999</v>
      </c>
    </row>
    <row r="543" spans="1:18" ht="15.6" x14ac:dyDescent="0.3">
      <c r="A543" s="118"/>
      <c r="B543" s="118"/>
      <c r="C543" s="81">
        <v>4</v>
      </c>
      <c r="D543" s="119" t="s">
        <v>35</v>
      </c>
      <c r="E543" s="119"/>
      <c r="F543" s="119"/>
      <c r="G543" s="119"/>
      <c r="H543" s="119"/>
      <c r="I543" s="118"/>
      <c r="J543" s="118"/>
      <c r="K543" s="79"/>
      <c r="L543" s="79"/>
      <c r="M543" s="79"/>
      <c r="N543" s="75">
        <v>1130.3699999999999</v>
      </c>
      <c r="O543" s="79"/>
      <c r="P543" s="75">
        <f>N543*M539</f>
        <v>84.777749999999983</v>
      </c>
      <c r="Q543" s="75">
        <v>13.002000000000001</v>
      </c>
      <c r="R543" s="75">
        <f>P543*Q543</f>
        <v>1102.2803054999999</v>
      </c>
    </row>
    <row r="544" spans="1:18" ht="15.6" x14ac:dyDescent="0.3">
      <c r="A544" s="118"/>
      <c r="B544" s="118"/>
      <c r="C544" s="79"/>
      <c r="D544" s="119" t="s">
        <v>36</v>
      </c>
      <c r="E544" s="119"/>
      <c r="F544" s="119"/>
      <c r="G544" s="119"/>
      <c r="H544" s="119"/>
      <c r="I544" s="118"/>
      <c r="J544" s="118"/>
      <c r="K544" s="75">
        <v>85.84</v>
      </c>
      <c r="L544" s="79"/>
      <c r="M544" s="75">
        <f>K544*M539</f>
        <v>6.4379999999999997</v>
      </c>
      <c r="N544" s="79"/>
      <c r="O544" s="79"/>
      <c r="P544" s="79"/>
      <c r="Q544" s="79"/>
      <c r="R544" s="80"/>
    </row>
    <row r="545" spans="1:18" ht="15.6" x14ac:dyDescent="0.3">
      <c r="A545" s="118"/>
      <c r="B545" s="118"/>
      <c r="C545" s="79"/>
      <c r="D545" s="119" t="s">
        <v>37</v>
      </c>
      <c r="E545" s="119"/>
      <c r="F545" s="119"/>
      <c r="G545" s="119"/>
      <c r="H545" s="119"/>
      <c r="I545" s="118"/>
      <c r="J545" s="118"/>
      <c r="K545" s="75">
        <v>6.29</v>
      </c>
      <c r="L545" s="79"/>
      <c r="M545" s="75">
        <f>K545*M539</f>
        <v>0.47175</v>
      </c>
      <c r="N545" s="79"/>
      <c r="O545" s="79"/>
      <c r="P545" s="79"/>
      <c r="Q545" s="79"/>
      <c r="R545" s="80"/>
    </row>
    <row r="546" spans="1:18" ht="15.6" x14ac:dyDescent="0.3">
      <c r="A546" s="118"/>
      <c r="B546" s="118"/>
      <c r="C546" s="79"/>
      <c r="D546" s="119" t="s">
        <v>38</v>
      </c>
      <c r="E546" s="119"/>
      <c r="F546" s="119"/>
      <c r="G546" s="119"/>
      <c r="H546" s="119"/>
      <c r="I546" s="118"/>
      <c r="J546" s="118"/>
      <c r="K546" s="79"/>
      <c r="L546" s="79"/>
      <c r="M546" s="79"/>
      <c r="N546" s="79"/>
      <c r="O546" s="79"/>
      <c r="P546" s="75">
        <f>SUM(P540:P543)</f>
        <v>158.36324999999999</v>
      </c>
      <c r="Q546" s="79"/>
      <c r="R546" s="75">
        <f>SUM(R540:R543)</f>
        <v>3743.9077619999998</v>
      </c>
    </row>
    <row r="547" spans="1:18" ht="15.6" x14ac:dyDescent="0.3">
      <c r="A547" s="118"/>
      <c r="B547" s="118"/>
      <c r="C547" s="79"/>
      <c r="D547" s="119" t="s">
        <v>39</v>
      </c>
      <c r="E547" s="119"/>
      <c r="F547" s="119"/>
      <c r="G547" s="119"/>
      <c r="H547" s="119"/>
      <c r="I547" s="118"/>
      <c r="J547" s="118"/>
      <c r="K547" s="79"/>
      <c r="L547" s="79"/>
      <c r="M547" s="79"/>
      <c r="N547" s="79"/>
      <c r="O547" s="79"/>
      <c r="P547" s="75">
        <f>P540+P542</f>
        <v>65.362499999999997</v>
      </c>
      <c r="Q547" s="79"/>
      <c r="R547" s="75">
        <f>R540+R542</f>
        <v>2467.8919124999998</v>
      </c>
    </row>
    <row r="548" spans="1:18" ht="31.2" x14ac:dyDescent="0.3">
      <c r="A548" s="118"/>
      <c r="B548" s="118"/>
      <c r="C548" s="75" t="s">
        <v>40</v>
      </c>
      <c r="D548" s="119" t="s">
        <v>41</v>
      </c>
      <c r="E548" s="119"/>
      <c r="F548" s="119"/>
      <c r="G548" s="119"/>
      <c r="H548" s="119"/>
      <c r="I548" s="120" t="s">
        <v>42</v>
      </c>
      <c r="J548" s="120"/>
      <c r="K548" s="75">
        <v>100</v>
      </c>
      <c r="L548" s="79"/>
      <c r="M548" s="79"/>
      <c r="N548" s="79"/>
      <c r="O548" s="79"/>
      <c r="P548" s="75">
        <f>P547*K548/100</f>
        <v>65.362499999999997</v>
      </c>
      <c r="Q548" s="79"/>
      <c r="R548" s="75">
        <f>R547*K548/100</f>
        <v>2467.8919124999998</v>
      </c>
    </row>
    <row r="549" spans="1:18" ht="31.2" x14ac:dyDescent="0.3">
      <c r="A549" s="118"/>
      <c r="B549" s="118"/>
      <c r="C549" s="75" t="s">
        <v>43</v>
      </c>
      <c r="D549" s="119" t="s">
        <v>44</v>
      </c>
      <c r="E549" s="119"/>
      <c r="F549" s="119"/>
      <c r="G549" s="119"/>
      <c r="H549" s="119"/>
      <c r="I549" s="120" t="s">
        <v>42</v>
      </c>
      <c r="J549" s="120"/>
      <c r="K549" s="75">
        <v>49</v>
      </c>
      <c r="L549" s="79"/>
      <c r="M549" s="79"/>
      <c r="N549" s="79"/>
      <c r="O549" s="79"/>
      <c r="P549" s="75">
        <f>P547*K549/100</f>
        <v>32.027625</v>
      </c>
      <c r="Q549" s="79"/>
      <c r="R549" s="75">
        <f>R547*K549/100</f>
        <v>1209.2670371249999</v>
      </c>
    </row>
    <row r="550" spans="1:18" ht="15.6" x14ac:dyDescent="0.3">
      <c r="A550" s="118"/>
      <c r="B550" s="118"/>
      <c r="C550" s="79"/>
      <c r="D550" s="119" t="s">
        <v>45</v>
      </c>
      <c r="E550" s="119"/>
      <c r="F550" s="119"/>
      <c r="G550" s="119"/>
      <c r="H550" s="119"/>
      <c r="I550" s="118"/>
      <c r="J550" s="118"/>
      <c r="K550" s="79"/>
      <c r="L550" s="79"/>
      <c r="M550" s="79"/>
      <c r="N550" s="79"/>
      <c r="O550" s="79"/>
      <c r="P550" s="75">
        <f>P549+P548+P546</f>
        <v>255.75337500000001</v>
      </c>
      <c r="Q550" s="79"/>
      <c r="R550" s="75">
        <f>R549+R548+R546</f>
        <v>7421.0667116249997</v>
      </c>
    </row>
    <row r="551" spans="1:18" ht="15.6" x14ac:dyDescent="0.3">
      <c r="A551" s="123"/>
      <c r="B551" s="123"/>
      <c r="C551" s="79"/>
      <c r="D551" s="120" t="s">
        <v>149</v>
      </c>
      <c r="E551" s="120"/>
      <c r="F551" s="120"/>
      <c r="G551" s="120"/>
      <c r="H551" s="120"/>
      <c r="I551" s="123"/>
      <c r="J551" s="123"/>
      <c r="K551" s="79"/>
      <c r="L551" s="79"/>
      <c r="M551" s="79"/>
      <c r="N551" s="79"/>
      <c r="O551" s="79"/>
      <c r="P551" s="75">
        <f>P526+P538+P550</f>
        <v>14805.104865000001</v>
      </c>
      <c r="Q551" s="79"/>
      <c r="R551" s="75">
        <f>R526+R538+R550</f>
        <v>443001.57840355503</v>
      </c>
    </row>
    <row r="552" spans="1:18" ht="15.6" x14ac:dyDescent="0.3">
      <c r="A552" s="127" t="s">
        <v>148</v>
      </c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</row>
    <row r="553" spans="1:18" ht="31.2" x14ac:dyDescent="0.3">
      <c r="A553" s="121" t="s">
        <v>535</v>
      </c>
      <c r="B553" s="121"/>
      <c r="C553" s="75" t="s">
        <v>538</v>
      </c>
      <c r="D553" s="120" t="s">
        <v>537</v>
      </c>
      <c r="E553" s="120"/>
      <c r="F553" s="120"/>
      <c r="G553" s="120"/>
      <c r="H553" s="120"/>
      <c r="I553" s="122" t="s">
        <v>76</v>
      </c>
      <c r="J553" s="122"/>
      <c r="K553" s="76">
        <v>1.9</v>
      </c>
      <c r="L553" s="77">
        <v>1</v>
      </c>
      <c r="M553" s="77">
        <f>K553</f>
        <v>1.9</v>
      </c>
      <c r="N553" s="78"/>
      <c r="O553" s="79"/>
      <c r="P553" s="79"/>
      <c r="Q553" s="79"/>
      <c r="R553" s="80"/>
    </row>
    <row r="554" spans="1:18" ht="15.6" x14ac:dyDescent="0.3">
      <c r="A554" s="118"/>
      <c r="B554" s="118"/>
      <c r="C554" s="81">
        <v>1</v>
      </c>
      <c r="D554" s="119" t="s">
        <v>32</v>
      </c>
      <c r="E554" s="119"/>
      <c r="F554" s="119"/>
      <c r="G554" s="119"/>
      <c r="H554" s="119"/>
      <c r="I554" s="118"/>
      <c r="J554" s="118"/>
      <c r="K554" s="79"/>
      <c r="L554" s="79"/>
      <c r="M554" s="79"/>
      <c r="N554" s="75">
        <v>558.73</v>
      </c>
      <c r="O554" s="79"/>
      <c r="P554" s="75">
        <f>M553*N554</f>
        <v>1061.587</v>
      </c>
      <c r="Q554" s="75">
        <v>37.756999999999998</v>
      </c>
      <c r="R554" s="75">
        <f>P554*Q554</f>
        <v>40082.340358999994</v>
      </c>
    </row>
    <row r="555" spans="1:18" ht="15.6" x14ac:dyDescent="0.3">
      <c r="A555" s="118"/>
      <c r="B555" s="118"/>
      <c r="C555" s="81">
        <v>3</v>
      </c>
      <c r="D555" s="119" t="s">
        <v>33</v>
      </c>
      <c r="E555" s="119"/>
      <c r="F555" s="119"/>
      <c r="G555" s="119"/>
      <c r="H555" s="119"/>
      <c r="I555" s="118"/>
      <c r="J555" s="118"/>
      <c r="K555" s="79"/>
      <c r="L555" s="79"/>
      <c r="M555" s="79"/>
      <c r="N555" s="75">
        <v>8.16</v>
      </c>
      <c r="O555" s="79"/>
      <c r="P555" s="75">
        <f>N555*M553</f>
        <v>15.504</v>
      </c>
      <c r="Q555" s="82">
        <v>21.128</v>
      </c>
      <c r="R555" s="75">
        <f>P555*Q555</f>
        <v>327.568512</v>
      </c>
    </row>
    <row r="556" spans="1:18" ht="15.6" x14ac:dyDescent="0.3">
      <c r="A556" s="118"/>
      <c r="B556" s="118"/>
      <c r="C556" s="81">
        <v>2</v>
      </c>
      <c r="D556" s="119" t="s">
        <v>34</v>
      </c>
      <c r="E556" s="119"/>
      <c r="F556" s="119"/>
      <c r="G556" s="119"/>
      <c r="H556" s="119"/>
      <c r="I556" s="118"/>
      <c r="J556" s="118"/>
      <c r="K556" s="79"/>
      <c r="L556" s="79"/>
      <c r="M556" s="79"/>
      <c r="N556" s="75">
        <v>0.12</v>
      </c>
      <c r="O556" s="79"/>
      <c r="P556" s="75">
        <f>N556*M553</f>
        <v>0.22799999999999998</v>
      </c>
      <c r="Q556" s="75">
        <v>37.756999999999998</v>
      </c>
      <c r="R556" s="75">
        <f>P556*Q556</f>
        <v>8.6085959999999986</v>
      </c>
    </row>
    <row r="557" spans="1:18" ht="15.6" x14ac:dyDescent="0.3">
      <c r="A557" s="118"/>
      <c r="B557" s="118"/>
      <c r="C557" s="81">
        <v>4</v>
      </c>
      <c r="D557" s="119" t="s">
        <v>35</v>
      </c>
      <c r="E557" s="119"/>
      <c r="F557" s="119"/>
      <c r="G557" s="119"/>
      <c r="H557" s="119"/>
      <c r="I557" s="118"/>
      <c r="J557" s="118"/>
      <c r="K557" s="79"/>
      <c r="L557" s="79"/>
      <c r="M557" s="79"/>
      <c r="N557" s="75">
        <v>981.16</v>
      </c>
      <c r="O557" s="79"/>
      <c r="P557" s="75">
        <f>N557*M553</f>
        <v>1864.204</v>
      </c>
      <c r="Q557" s="75">
        <v>13.002000000000001</v>
      </c>
      <c r="R557" s="75">
        <f>P557*Q557</f>
        <v>24238.380408000001</v>
      </c>
    </row>
    <row r="558" spans="1:18" ht="15.6" x14ac:dyDescent="0.3">
      <c r="A558" s="118"/>
      <c r="B558" s="118"/>
      <c r="C558" s="79"/>
      <c r="D558" s="119" t="s">
        <v>36</v>
      </c>
      <c r="E558" s="119"/>
      <c r="F558" s="119"/>
      <c r="G558" s="119"/>
      <c r="H558" s="119"/>
      <c r="I558" s="118"/>
      <c r="J558" s="118"/>
      <c r="K558" s="75">
        <v>58.08</v>
      </c>
      <c r="L558" s="79"/>
      <c r="M558" s="75">
        <f>K558*M553</f>
        <v>110.35199999999999</v>
      </c>
      <c r="N558" s="79"/>
      <c r="O558" s="79"/>
      <c r="P558" s="79"/>
      <c r="Q558" s="79"/>
      <c r="R558" s="80"/>
    </row>
    <row r="559" spans="1:18" ht="15.6" x14ac:dyDescent="0.3">
      <c r="A559" s="118"/>
      <c r="B559" s="118"/>
      <c r="C559" s="79"/>
      <c r="D559" s="119" t="s">
        <v>37</v>
      </c>
      <c r="E559" s="119"/>
      <c r="F559" s="119"/>
      <c r="G559" s="119"/>
      <c r="H559" s="119"/>
      <c r="I559" s="118"/>
      <c r="J559" s="118"/>
      <c r="K559" s="75">
        <v>0.01</v>
      </c>
      <c r="L559" s="79"/>
      <c r="M559" s="75">
        <f>K559*M553</f>
        <v>1.9E-2</v>
      </c>
      <c r="N559" s="79"/>
      <c r="O559" s="79"/>
      <c r="P559" s="79"/>
      <c r="Q559" s="79"/>
      <c r="R559" s="80"/>
    </row>
    <row r="560" spans="1:18" ht="15.6" x14ac:dyDescent="0.3">
      <c r="A560" s="118"/>
      <c r="B560" s="118"/>
      <c r="C560" s="79"/>
      <c r="D560" s="119" t="s">
        <v>38</v>
      </c>
      <c r="E560" s="119"/>
      <c r="F560" s="119"/>
      <c r="G560" s="119"/>
      <c r="H560" s="119"/>
      <c r="I560" s="118"/>
      <c r="J560" s="118"/>
      <c r="K560" s="79"/>
      <c r="L560" s="79"/>
      <c r="M560" s="79"/>
      <c r="N560" s="79"/>
      <c r="O560" s="79"/>
      <c r="P560" s="75">
        <f>SUM(P554:P557)</f>
        <v>2941.5230000000001</v>
      </c>
      <c r="Q560" s="79"/>
      <c r="R560" s="75">
        <f>SUM(R554:R557)</f>
        <v>64656.897874999995</v>
      </c>
    </row>
    <row r="561" spans="1:18" ht="15.6" x14ac:dyDescent="0.3">
      <c r="A561" s="118"/>
      <c r="B561" s="118"/>
      <c r="C561" s="79"/>
      <c r="D561" s="119" t="s">
        <v>39</v>
      </c>
      <c r="E561" s="119"/>
      <c r="F561" s="119"/>
      <c r="G561" s="119"/>
      <c r="H561" s="119"/>
      <c r="I561" s="118"/>
      <c r="J561" s="118"/>
      <c r="K561" s="79"/>
      <c r="L561" s="79"/>
      <c r="M561" s="79"/>
      <c r="N561" s="79"/>
      <c r="O561" s="79"/>
      <c r="P561" s="75">
        <f>P554+P556</f>
        <v>1061.8150000000001</v>
      </c>
      <c r="Q561" s="79"/>
      <c r="R561" s="75">
        <f>R554+R556</f>
        <v>40090.948954999993</v>
      </c>
    </row>
    <row r="562" spans="1:18" ht="31.2" x14ac:dyDescent="0.3">
      <c r="A562" s="118"/>
      <c r="B562" s="118"/>
      <c r="C562" s="75" t="s">
        <v>40</v>
      </c>
      <c r="D562" s="119" t="s">
        <v>41</v>
      </c>
      <c r="E562" s="119"/>
      <c r="F562" s="119"/>
      <c r="G562" s="119"/>
      <c r="H562" s="119"/>
      <c r="I562" s="120" t="s">
        <v>42</v>
      </c>
      <c r="J562" s="120"/>
      <c r="K562" s="75">
        <v>100</v>
      </c>
      <c r="L562" s="79"/>
      <c r="M562" s="79"/>
      <c r="N562" s="79"/>
      <c r="O562" s="79"/>
      <c r="P562" s="75">
        <f>P561*K562/100</f>
        <v>1061.8150000000001</v>
      </c>
      <c r="Q562" s="79"/>
      <c r="R562" s="75">
        <f>R561*K562/100</f>
        <v>40090.948954999993</v>
      </c>
    </row>
    <row r="563" spans="1:18" ht="31.2" x14ac:dyDescent="0.3">
      <c r="A563" s="118"/>
      <c r="B563" s="118"/>
      <c r="C563" s="75" t="s">
        <v>43</v>
      </c>
      <c r="D563" s="119" t="s">
        <v>44</v>
      </c>
      <c r="E563" s="119"/>
      <c r="F563" s="119"/>
      <c r="G563" s="119"/>
      <c r="H563" s="119"/>
      <c r="I563" s="120" t="s">
        <v>42</v>
      </c>
      <c r="J563" s="120"/>
      <c r="K563" s="75">
        <v>49</v>
      </c>
      <c r="L563" s="79"/>
      <c r="M563" s="79"/>
      <c r="N563" s="79"/>
      <c r="O563" s="79"/>
      <c r="P563" s="75">
        <f>P561*K563/100</f>
        <v>520.28935000000001</v>
      </c>
      <c r="Q563" s="79"/>
      <c r="R563" s="75">
        <f>R561*K563/100</f>
        <v>19644.564987949998</v>
      </c>
    </row>
    <row r="564" spans="1:18" ht="15.6" x14ac:dyDescent="0.3">
      <c r="A564" s="118"/>
      <c r="B564" s="118"/>
      <c r="C564" s="79"/>
      <c r="D564" s="119" t="s">
        <v>45</v>
      </c>
      <c r="E564" s="119"/>
      <c r="F564" s="119"/>
      <c r="G564" s="119"/>
      <c r="H564" s="119"/>
      <c r="I564" s="118"/>
      <c r="J564" s="118"/>
      <c r="K564" s="79"/>
      <c r="L564" s="79"/>
      <c r="M564" s="79"/>
      <c r="N564" s="79"/>
      <c r="O564" s="79"/>
      <c r="P564" s="75">
        <f>P563+P562+P560</f>
        <v>4523.6273500000007</v>
      </c>
      <c r="Q564" s="79"/>
      <c r="R564" s="75">
        <f>R563+R562+R560</f>
        <v>124392.41181794999</v>
      </c>
    </row>
    <row r="565" spans="1:18" ht="31.2" x14ac:dyDescent="0.3">
      <c r="A565" s="121" t="s">
        <v>536</v>
      </c>
      <c r="B565" s="121"/>
      <c r="C565" s="75" t="s">
        <v>539</v>
      </c>
      <c r="D565" s="120" t="s">
        <v>540</v>
      </c>
      <c r="E565" s="120"/>
      <c r="F565" s="120"/>
      <c r="G565" s="120"/>
      <c r="H565" s="120"/>
      <c r="I565" s="122" t="s">
        <v>76</v>
      </c>
      <c r="J565" s="122"/>
      <c r="K565" s="76">
        <v>1.3</v>
      </c>
      <c r="L565" s="77">
        <v>1</v>
      </c>
      <c r="M565" s="77">
        <f>K565</f>
        <v>1.3</v>
      </c>
      <c r="N565" s="78"/>
      <c r="O565" s="79"/>
      <c r="P565" s="79"/>
      <c r="Q565" s="79"/>
      <c r="R565" s="80"/>
    </row>
    <row r="566" spans="1:18" ht="15.6" x14ac:dyDescent="0.3">
      <c r="A566" s="118"/>
      <c r="B566" s="118"/>
      <c r="C566" s="81">
        <v>1</v>
      </c>
      <c r="D566" s="119" t="s">
        <v>32</v>
      </c>
      <c r="E566" s="119"/>
      <c r="F566" s="119"/>
      <c r="G566" s="119"/>
      <c r="H566" s="119"/>
      <c r="I566" s="118"/>
      <c r="J566" s="118"/>
      <c r="K566" s="79"/>
      <c r="L566" s="79"/>
      <c r="M566" s="79"/>
      <c r="N566" s="75">
        <v>638.09</v>
      </c>
      <c r="O566" s="79"/>
      <c r="P566" s="75">
        <f>M565*N566</f>
        <v>829.51700000000005</v>
      </c>
      <c r="Q566" s="75">
        <v>37.756999999999998</v>
      </c>
      <c r="R566" s="75">
        <f>P566*Q566</f>
        <v>31320.073369000002</v>
      </c>
    </row>
    <row r="567" spans="1:18" ht="15.6" x14ac:dyDescent="0.3">
      <c r="A567" s="118"/>
      <c r="B567" s="118"/>
      <c r="C567" s="81">
        <v>3</v>
      </c>
      <c r="D567" s="119" t="s">
        <v>33</v>
      </c>
      <c r="E567" s="119"/>
      <c r="F567" s="119"/>
      <c r="G567" s="119"/>
      <c r="H567" s="119"/>
      <c r="I567" s="118"/>
      <c r="J567" s="118"/>
      <c r="K567" s="79"/>
      <c r="L567" s="79"/>
      <c r="M567" s="79"/>
      <c r="N567" s="75">
        <v>8.16</v>
      </c>
      <c r="O567" s="79"/>
      <c r="P567" s="75">
        <f>N567*M565</f>
        <v>10.608000000000001</v>
      </c>
      <c r="Q567" s="82">
        <v>21.128</v>
      </c>
      <c r="R567" s="75">
        <f>P567*Q567</f>
        <v>224.12582400000002</v>
      </c>
    </row>
    <row r="568" spans="1:18" ht="15.6" x14ac:dyDescent="0.3">
      <c r="A568" s="118"/>
      <c r="B568" s="118"/>
      <c r="C568" s="81">
        <v>2</v>
      </c>
      <c r="D568" s="119" t="s">
        <v>34</v>
      </c>
      <c r="E568" s="119"/>
      <c r="F568" s="119"/>
      <c r="G568" s="119"/>
      <c r="H568" s="119"/>
      <c r="I568" s="118"/>
      <c r="J568" s="118"/>
      <c r="K568" s="79"/>
      <c r="L568" s="79"/>
      <c r="M568" s="79"/>
      <c r="N568" s="75">
        <v>0.12</v>
      </c>
      <c r="O568" s="79"/>
      <c r="P568" s="75">
        <f>N568*M565</f>
        <v>0.156</v>
      </c>
      <c r="Q568" s="75">
        <v>37.756999999999998</v>
      </c>
      <c r="R568" s="75">
        <f>P568*Q568</f>
        <v>5.8900920000000001</v>
      </c>
    </row>
    <row r="569" spans="1:18" ht="15.6" x14ac:dyDescent="0.3">
      <c r="A569" s="118"/>
      <c r="B569" s="118"/>
      <c r="C569" s="81">
        <v>4</v>
      </c>
      <c r="D569" s="119" t="s">
        <v>35</v>
      </c>
      <c r="E569" s="119"/>
      <c r="F569" s="119"/>
      <c r="G569" s="119"/>
      <c r="H569" s="119"/>
      <c r="I569" s="118"/>
      <c r="J569" s="118"/>
      <c r="K569" s="79"/>
      <c r="L569" s="79"/>
      <c r="M569" s="79"/>
      <c r="N569" s="75">
        <v>1252.67</v>
      </c>
      <c r="O569" s="79"/>
      <c r="P569" s="75">
        <f>N569*M565</f>
        <v>1628.4710000000002</v>
      </c>
      <c r="Q569" s="75">
        <v>13.002000000000001</v>
      </c>
      <c r="R569" s="75">
        <f>P569*Q569</f>
        <v>21173.379942000003</v>
      </c>
    </row>
    <row r="570" spans="1:18" ht="15.6" x14ac:dyDescent="0.3">
      <c r="A570" s="118"/>
      <c r="B570" s="118"/>
      <c r="C570" s="79"/>
      <c r="D570" s="119" t="s">
        <v>36</v>
      </c>
      <c r="E570" s="119"/>
      <c r="F570" s="119"/>
      <c r="G570" s="119"/>
      <c r="H570" s="119"/>
      <c r="I570" s="118"/>
      <c r="J570" s="118"/>
      <c r="K570" s="75">
        <v>66.33</v>
      </c>
      <c r="L570" s="79"/>
      <c r="M570" s="75">
        <f>K570*M565</f>
        <v>86.228999999999999</v>
      </c>
      <c r="N570" s="79"/>
      <c r="O570" s="79"/>
      <c r="P570" s="79"/>
      <c r="Q570" s="79"/>
      <c r="R570" s="80"/>
    </row>
    <row r="571" spans="1:18" ht="15.6" x14ac:dyDescent="0.3">
      <c r="A571" s="118"/>
      <c r="B571" s="118"/>
      <c r="C571" s="79"/>
      <c r="D571" s="119" t="s">
        <v>37</v>
      </c>
      <c r="E571" s="119"/>
      <c r="F571" s="119"/>
      <c r="G571" s="119"/>
      <c r="H571" s="119"/>
      <c r="I571" s="118"/>
      <c r="J571" s="118"/>
      <c r="K571" s="75">
        <v>0.01</v>
      </c>
      <c r="L571" s="79"/>
      <c r="M571" s="75">
        <f>K571*M565</f>
        <v>1.3000000000000001E-2</v>
      </c>
      <c r="N571" s="79"/>
      <c r="O571" s="79"/>
      <c r="P571" s="79"/>
      <c r="Q571" s="79"/>
      <c r="R571" s="80"/>
    </row>
    <row r="572" spans="1:18" ht="15.6" x14ac:dyDescent="0.3">
      <c r="A572" s="118"/>
      <c r="B572" s="118"/>
      <c r="C572" s="79"/>
      <c r="D572" s="119" t="s">
        <v>38</v>
      </c>
      <c r="E572" s="119"/>
      <c r="F572" s="119"/>
      <c r="G572" s="119"/>
      <c r="H572" s="119"/>
      <c r="I572" s="118"/>
      <c r="J572" s="118"/>
      <c r="K572" s="79"/>
      <c r="L572" s="79"/>
      <c r="M572" s="79"/>
      <c r="N572" s="79"/>
      <c r="O572" s="79"/>
      <c r="P572" s="75">
        <f>SUM(P566:P569)</f>
        <v>2468.7520000000004</v>
      </c>
      <c r="Q572" s="79"/>
      <c r="R572" s="75">
        <f>SUM(R566:R569)</f>
        <v>52723.469227000009</v>
      </c>
    </row>
    <row r="573" spans="1:18" ht="15.6" x14ac:dyDescent="0.3">
      <c r="A573" s="118"/>
      <c r="B573" s="118"/>
      <c r="C573" s="79"/>
      <c r="D573" s="119" t="s">
        <v>39</v>
      </c>
      <c r="E573" s="119"/>
      <c r="F573" s="119"/>
      <c r="G573" s="119"/>
      <c r="H573" s="119"/>
      <c r="I573" s="118"/>
      <c r="J573" s="118"/>
      <c r="K573" s="79"/>
      <c r="L573" s="79"/>
      <c r="M573" s="79"/>
      <c r="N573" s="79"/>
      <c r="O573" s="79"/>
      <c r="P573" s="75">
        <f>P566+P568</f>
        <v>829.673</v>
      </c>
      <c r="Q573" s="79"/>
      <c r="R573" s="75">
        <f>R566+R568</f>
        <v>31325.963461000003</v>
      </c>
    </row>
    <row r="574" spans="1:18" ht="31.2" x14ac:dyDescent="0.3">
      <c r="A574" s="118"/>
      <c r="B574" s="118"/>
      <c r="C574" s="75" t="s">
        <v>40</v>
      </c>
      <c r="D574" s="119" t="s">
        <v>41</v>
      </c>
      <c r="E574" s="119"/>
      <c r="F574" s="119"/>
      <c r="G574" s="119"/>
      <c r="H574" s="119"/>
      <c r="I574" s="120" t="s">
        <v>42</v>
      </c>
      <c r="J574" s="120"/>
      <c r="K574" s="75">
        <v>100</v>
      </c>
      <c r="L574" s="79"/>
      <c r="M574" s="79"/>
      <c r="N574" s="79"/>
      <c r="O574" s="79"/>
      <c r="P574" s="75">
        <f>P573*K574/100</f>
        <v>829.673</v>
      </c>
      <c r="Q574" s="79"/>
      <c r="R574" s="75">
        <f>R573*K574/100</f>
        <v>31325.963461000003</v>
      </c>
    </row>
    <row r="575" spans="1:18" ht="31.2" x14ac:dyDescent="0.3">
      <c r="A575" s="118"/>
      <c r="B575" s="118"/>
      <c r="C575" s="75" t="s">
        <v>43</v>
      </c>
      <c r="D575" s="119" t="s">
        <v>44</v>
      </c>
      <c r="E575" s="119"/>
      <c r="F575" s="119"/>
      <c r="G575" s="119"/>
      <c r="H575" s="119"/>
      <c r="I575" s="120" t="s">
        <v>42</v>
      </c>
      <c r="J575" s="120"/>
      <c r="K575" s="75">
        <v>49</v>
      </c>
      <c r="L575" s="79"/>
      <c r="M575" s="79"/>
      <c r="N575" s="79"/>
      <c r="O575" s="79"/>
      <c r="P575" s="75">
        <f>P573*K575/100</f>
        <v>406.53976999999998</v>
      </c>
      <c r="Q575" s="79"/>
      <c r="R575" s="75">
        <f>R573*K575/100</f>
        <v>15349.722095890002</v>
      </c>
    </row>
    <row r="576" spans="1:18" ht="15.6" x14ac:dyDescent="0.3">
      <c r="A576" s="118"/>
      <c r="B576" s="118"/>
      <c r="C576" s="79"/>
      <c r="D576" s="119" t="s">
        <v>45</v>
      </c>
      <c r="E576" s="119"/>
      <c r="F576" s="119"/>
      <c r="G576" s="119"/>
      <c r="H576" s="119"/>
      <c r="I576" s="118"/>
      <c r="J576" s="118"/>
      <c r="K576" s="79"/>
      <c r="L576" s="79"/>
      <c r="M576" s="79"/>
      <c r="N576" s="79"/>
      <c r="O576" s="79"/>
      <c r="P576" s="75">
        <f>P575+P574+P572</f>
        <v>3704.9647700000005</v>
      </c>
      <c r="Q576" s="79"/>
      <c r="R576" s="75">
        <f>R575+R574+R572</f>
        <v>99399.154783890015</v>
      </c>
    </row>
    <row r="577" spans="1:18" ht="15.6" x14ac:dyDescent="0.3">
      <c r="A577" s="123"/>
      <c r="B577" s="123"/>
      <c r="C577" s="79"/>
      <c r="D577" s="120" t="s">
        <v>150</v>
      </c>
      <c r="E577" s="120"/>
      <c r="F577" s="120"/>
      <c r="G577" s="120"/>
      <c r="H577" s="120"/>
      <c r="I577" s="123"/>
      <c r="J577" s="123"/>
      <c r="K577" s="79"/>
      <c r="L577" s="79"/>
      <c r="M577" s="79"/>
      <c r="N577" s="79"/>
      <c r="O577" s="79"/>
      <c r="P577" s="75">
        <f>P576+P564</f>
        <v>8228.5921200000012</v>
      </c>
      <c r="Q577" s="79"/>
      <c r="R577" s="75">
        <f>R576+R564</f>
        <v>223791.56660184002</v>
      </c>
    </row>
    <row r="578" spans="1:18" ht="15.6" x14ac:dyDescent="0.3">
      <c r="A578" s="127" t="s">
        <v>151</v>
      </c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</row>
    <row r="579" spans="1:18" ht="34.200000000000003" customHeight="1" x14ac:dyDescent="0.3">
      <c r="A579" s="121" t="s">
        <v>541</v>
      </c>
      <c r="B579" s="121"/>
      <c r="C579" s="75" t="s">
        <v>543</v>
      </c>
      <c r="D579" s="120" t="s">
        <v>542</v>
      </c>
      <c r="E579" s="120"/>
      <c r="F579" s="120"/>
      <c r="G579" s="120"/>
      <c r="H579" s="120"/>
      <c r="I579" s="122" t="s">
        <v>76</v>
      </c>
      <c r="J579" s="122"/>
      <c r="K579" s="76">
        <v>7.4999999999999997E-2</v>
      </c>
      <c r="L579" s="77">
        <v>1</v>
      </c>
      <c r="M579" s="77">
        <f>K579</f>
        <v>7.4999999999999997E-2</v>
      </c>
      <c r="N579" s="78"/>
      <c r="O579" s="79"/>
      <c r="P579" s="79"/>
      <c r="Q579" s="79"/>
      <c r="R579" s="80"/>
    </row>
    <row r="580" spans="1:18" ht="15.6" x14ac:dyDescent="0.3">
      <c r="A580" s="118"/>
      <c r="B580" s="118"/>
      <c r="C580" s="81">
        <v>1</v>
      </c>
      <c r="D580" s="119" t="s">
        <v>32</v>
      </c>
      <c r="E580" s="119"/>
      <c r="F580" s="119"/>
      <c r="G580" s="119"/>
      <c r="H580" s="119"/>
      <c r="I580" s="118"/>
      <c r="J580" s="118"/>
      <c r="K580" s="79"/>
      <c r="L580" s="79"/>
      <c r="M580" s="79"/>
      <c r="N580" s="75">
        <v>1956.99</v>
      </c>
      <c r="O580" s="79"/>
      <c r="P580" s="75">
        <f>M579*N580</f>
        <v>146.77424999999999</v>
      </c>
      <c r="Q580" s="75">
        <v>37.756999999999998</v>
      </c>
      <c r="R580" s="75">
        <f>P580*Q580</f>
        <v>5541.7553572499992</v>
      </c>
    </row>
    <row r="581" spans="1:18" ht="15.6" x14ac:dyDescent="0.3">
      <c r="A581" s="118"/>
      <c r="B581" s="118"/>
      <c r="C581" s="81">
        <v>3</v>
      </c>
      <c r="D581" s="119" t="s">
        <v>33</v>
      </c>
      <c r="E581" s="119"/>
      <c r="F581" s="119"/>
      <c r="G581" s="119"/>
      <c r="H581" s="119"/>
      <c r="I581" s="118"/>
      <c r="J581" s="118"/>
      <c r="K581" s="79"/>
      <c r="L581" s="79"/>
      <c r="M581" s="79"/>
      <c r="N581" s="75">
        <v>29.82</v>
      </c>
      <c r="O581" s="79"/>
      <c r="P581" s="75">
        <f>N581*M579</f>
        <v>2.2364999999999999</v>
      </c>
      <c r="Q581" s="82">
        <v>21.128</v>
      </c>
      <c r="R581" s="75">
        <f>P581*Q581</f>
        <v>47.252772</v>
      </c>
    </row>
    <row r="582" spans="1:18" ht="15.6" x14ac:dyDescent="0.3">
      <c r="A582" s="118"/>
      <c r="B582" s="118"/>
      <c r="C582" s="81">
        <v>2</v>
      </c>
      <c r="D582" s="119" t="s">
        <v>34</v>
      </c>
      <c r="E582" s="119"/>
      <c r="F582" s="119"/>
      <c r="G582" s="119"/>
      <c r="H582" s="119"/>
      <c r="I582" s="118"/>
      <c r="J582" s="118"/>
      <c r="K582" s="79"/>
      <c r="L582" s="79"/>
      <c r="M582" s="79"/>
      <c r="N582" s="75">
        <v>9.9</v>
      </c>
      <c r="O582" s="79"/>
      <c r="P582" s="75">
        <f>N582*M579</f>
        <v>0.74250000000000005</v>
      </c>
      <c r="Q582" s="75">
        <v>37.756999999999998</v>
      </c>
      <c r="R582" s="75">
        <f>P582*Q582</f>
        <v>28.034572499999999</v>
      </c>
    </row>
    <row r="583" spans="1:18" ht="15.6" x14ac:dyDescent="0.3">
      <c r="A583" s="118"/>
      <c r="B583" s="118"/>
      <c r="C583" s="81">
        <v>4</v>
      </c>
      <c r="D583" s="119" t="s">
        <v>35</v>
      </c>
      <c r="E583" s="119"/>
      <c r="F583" s="119"/>
      <c r="G583" s="119"/>
      <c r="H583" s="119"/>
      <c r="I583" s="118"/>
      <c r="J583" s="118"/>
      <c r="K583" s="79"/>
      <c r="L583" s="79"/>
      <c r="M583" s="79"/>
      <c r="N583" s="75">
        <v>10253.86</v>
      </c>
      <c r="O583" s="79"/>
      <c r="P583" s="75">
        <f>N583*M579</f>
        <v>769.03949999999998</v>
      </c>
      <c r="Q583" s="75">
        <v>13.002000000000001</v>
      </c>
      <c r="R583" s="75">
        <f>P583*Q583</f>
        <v>9999.0515790000009</v>
      </c>
    </row>
    <row r="584" spans="1:18" ht="15.6" x14ac:dyDescent="0.3">
      <c r="A584" s="118"/>
      <c r="B584" s="118"/>
      <c r="C584" s="79"/>
      <c r="D584" s="119" t="s">
        <v>36</v>
      </c>
      <c r="E584" s="119"/>
      <c r="F584" s="119"/>
      <c r="G584" s="119"/>
      <c r="H584" s="119"/>
      <c r="I584" s="118"/>
      <c r="J584" s="118"/>
      <c r="K584" s="75">
        <v>213.18</v>
      </c>
      <c r="L584" s="79"/>
      <c r="M584" s="75">
        <f>K584*M579</f>
        <v>15.9885</v>
      </c>
      <c r="N584" s="79"/>
      <c r="O584" s="79"/>
      <c r="P584" s="79"/>
      <c r="Q584" s="79"/>
      <c r="R584" s="80"/>
    </row>
    <row r="585" spans="1:18" ht="15.6" x14ac:dyDescent="0.3">
      <c r="A585" s="118"/>
      <c r="B585" s="118"/>
      <c r="C585" s="79"/>
      <c r="D585" s="119" t="s">
        <v>37</v>
      </c>
      <c r="E585" s="119"/>
      <c r="F585" s="119"/>
      <c r="G585" s="119"/>
      <c r="H585" s="119"/>
      <c r="I585" s="118"/>
      <c r="J585" s="118"/>
      <c r="K585" s="75">
        <v>0.86</v>
      </c>
      <c r="L585" s="79"/>
      <c r="M585" s="75">
        <f>K585*M579</f>
        <v>6.4500000000000002E-2</v>
      </c>
      <c r="N585" s="79"/>
      <c r="O585" s="79"/>
      <c r="P585" s="79"/>
      <c r="Q585" s="79"/>
      <c r="R585" s="80"/>
    </row>
    <row r="586" spans="1:18" ht="15.6" x14ac:dyDescent="0.3">
      <c r="A586" s="118"/>
      <c r="B586" s="118"/>
      <c r="C586" s="79"/>
      <c r="D586" s="119" t="s">
        <v>38</v>
      </c>
      <c r="E586" s="119"/>
      <c r="F586" s="119"/>
      <c r="G586" s="119"/>
      <c r="H586" s="119"/>
      <c r="I586" s="118"/>
      <c r="J586" s="118"/>
      <c r="K586" s="79"/>
      <c r="L586" s="79"/>
      <c r="M586" s="79"/>
      <c r="N586" s="79"/>
      <c r="O586" s="79"/>
      <c r="P586" s="75">
        <f>SUM(P580:P583)</f>
        <v>918.79274999999996</v>
      </c>
      <c r="Q586" s="79"/>
      <c r="R586" s="75">
        <f>SUM(R580:R583)</f>
        <v>15616.09428075</v>
      </c>
    </row>
    <row r="587" spans="1:18" ht="15.6" x14ac:dyDescent="0.3">
      <c r="A587" s="118"/>
      <c r="B587" s="118"/>
      <c r="C587" s="79"/>
      <c r="D587" s="119" t="s">
        <v>39</v>
      </c>
      <c r="E587" s="119"/>
      <c r="F587" s="119"/>
      <c r="G587" s="119"/>
      <c r="H587" s="119"/>
      <c r="I587" s="118"/>
      <c r="J587" s="118"/>
      <c r="K587" s="79"/>
      <c r="L587" s="79"/>
      <c r="M587" s="79"/>
      <c r="N587" s="79"/>
      <c r="O587" s="79"/>
      <c r="P587" s="75">
        <f>P580+P582</f>
        <v>147.51675</v>
      </c>
      <c r="Q587" s="79"/>
      <c r="R587" s="75">
        <f>R580+R582</f>
        <v>5569.7899297499989</v>
      </c>
    </row>
    <row r="588" spans="1:18" ht="31.2" x14ac:dyDescent="0.3">
      <c r="A588" s="118"/>
      <c r="B588" s="118"/>
      <c r="C588" s="75" t="s">
        <v>40</v>
      </c>
      <c r="D588" s="119" t="s">
        <v>41</v>
      </c>
      <c r="E588" s="119"/>
      <c r="F588" s="119"/>
      <c r="G588" s="119"/>
      <c r="H588" s="119"/>
      <c r="I588" s="120" t="s">
        <v>42</v>
      </c>
      <c r="J588" s="120"/>
      <c r="K588" s="75">
        <v>100</v>
      </c>
      <c r="L588" s="79"/>
      <c r="M588" s="79"/>
      <c r="N588" s="79"/>
      <c r="O588" s="79"/>
      <c r="P588" s="75">
        <f>P587*K588/100</f>
        <v>147.51675</v>
      </c>
      <c r="Q588" s="79"/>
      <c r="R588" s="75">
        <f>R587*K588/100</f>
        <v>5569.7899297499998</v>
      </c>
    </row>
    <row r="589" spans="1:18" ht="31.2" x14ac:dyDescent="0.3">
      <c r="A589" s="118"/>
      <c r="B589" s="118"/>
      <c r="C589" s="75" t="s">
        <v>43</v>
      </c>
      <c r="D589" s="119" t="s">
        <v>44</v>
      </c>
      <c r="E589" s="119"/>
      <c r="F589" s="119"/>
      <c r="G589" s="119"/>
      <c r="H589" s="119"/>
      <c r="I589" s="120" t="s">
        <v>42</v>
      </c>
      <c r="J589" s="120"/>
      <c r="K589" s="75">
        <v>49</v>
      </c>
      <c r="L589" s="79"/>
      <c r="M589" s="79"/>
      <c r="N589" s="79"/>
      <c r="O589" s="79"/>
      <c r="P589" s="75">
        <f>P587*K589/100</f>
        <v>72.283207500000003</v>
      </c>
      <c r="Q589" s="79"/>
      <c r="R589" s="75">
        <f>R587*K589/100</f>
        <v>2729.1970655774994</v>
      </c>
    </row>
    <row r="590" spans="1:18" ht="15.6" x14ac:dyDescent="0.3">
      <c r="A590" s="118"/>
      <c r="B590" s="118"/>
      <c r="C590" s="79"/>
      <c r="D590" s="119" t="s">
        <v>45</v>
      </c>
      <c r="E590" s="119"/>
      <c r="F590" s="119"/>
      <c r="G590" s="119"/>
      <c r="H590" s="119"/>
      <c r="I590" s="118"/>
      <c r="J590" s="118"/>
      <c r="K590" s="79"/>
      <c r="L590" s="79"/>
      <c r="M590" s="79"/>
      <c r="N590" s="79"/>
      <c r="O590" s="79"/>
      <c r="P590" s="75">
        <f>P589+P588+P586</f>
        <v>1138.5927075</v>
      </c>
      <c r="Q590" s="79"/>
      <c r="R590" s="75">
        <f>R589+R588+R586</f>
        <v>23915.081276077501</v>
      </c>
    </row>
    <row r="591" spans="1:18" ht="35.4" customHeight="1" x14ac:dyDescent="0.3">
      <c r="A591" s="121" t="s">
        <v>544</v>
      </c>
      <c r="B591" s="121"/>
      <c r="C591" s="75" t="s">
        <v>545</v>
      </c>
      <c r="D591" s="120" t="s">
        <v>546</v>
      </c>
      <c r="E591" s="120"/>
      <c r="F591" s="120"/>
      <c r="G591" s="120"/>
      <c r="H591" s="120"/>
      <c r="I591" s="122" t="s">
        <v>76</v>
      </c>
      <c r="J591" s="122"/>
      <c r="K591" s="76">
        <v>7.4999999999999997E-2</v>
      </c>
      <c r="L591" s="77">
        <v>1</v>
      </c>
      <c r="M591" s="77">
        <f>K591</f>
        <v>7.4999999999999997E-2</v>
      </c>
      <c r="N591" s="78"/>
      <c r="O591" s="79"/>
      <c r="P591" s="79"/>
      <c r="Q591" s="79"/>
      <c r="R591" s="80"/>
    </row>
    <row r="592" spans="1:18" ht="15.6" x14ac:dyDescent="0.3">
      <c r="A592" s="118"/>
      <c r="B592" s="118"/>
      <c r="C592" s="81">
        <v>1</v>
      </c>
      <c r="D592" s="119" t="s">
        <v>32</v>
      </c>
      <c r="E592" s="119"/>
      <c r="F592" s="119"/>
      <c r="G592" s="119"/>
      <c r="H592" s="119"/>
      <c r="I592" s="118"/>
      <c r="J592" s="118"/>
      <c r="K592" s="79"/>
      <c r="L592" s="79"/>
      <c r="M592" s="79"/>
      <c r="N592" s="75">
        <v>3164.63</v>
      </c>
      <c r="O592" s="79"/>
      <c r="P592" s="75">
        <f>M591*N592</f>
        <v>237.34725</v>
      </c>
      <c r="Q592" s="75">
        <v>37.756999999999998</v>
      </c>
      <c r="R592" s="75">
        <f>P592*Q592</f>
        <v>8961.5201182500005</v>
      </c>
    </row>
    <row r="593" spans="1:18" ht="15.6" x14ac:dyDescent="0.3">
      <c r="A593" s="118"/>
      <c r="B593" s="118"/>
      <c r="C593" s="81">
        <v>3</v>
      </c>
      <c r="D593" s="119" t="s">
        <v>33</v>
      </c>
      <c r="E593" s="119"/>
      <c r="F593" s="119"/>
      <c r="G593" s="119"/>
      <c r="H593" s="119"/>
      <c r="I593" s="118"/>
      <c r="J593" s="118"/>
      <c r="K593" s="79"/>
      <c r="L593" s="79"/>
      <c r="M593" s="79"/>
      <c r="N593" s="75">
        <v>260.91000000000003</v>
      </c>
      <c r="O593" s="79"/>
      <c r="P593" s="75">
        <f>N593*M591</f>
        <v>19.568250000000003</v>
      </c>
      <c r="Q593" s="82">
        <v>21.128</v>
      </c>
      <c r="R593" s="75">
        <f>P593*Q593</f>
        <v>413.43798600000008</v>
      </c>
    </row>
    <row r="594" spans="1:18" ht="15.6" x14ac:dyDescent="0.3">
      <c r="A594" s="118"/>
      <c r="B594" s="118"/>
      <c r="C594" s="81">
        <v>2</v>
      </c>
      <c r="D594" s="119" t="s">
        <v>34</v>
      </c>
      <c r="E594" s="119"/>
      <c r="F594" s="119"/>
      <c r="G594" s="119"/>
      <c r="H594" s="119"/>
      <c r="I594" s="118"/>
      <c r="J594" s="118"/>
      <c r="K594" s="79"/>
      <c r="L594" s="79"/>
      <c r="M594" s="79"/>
      <c r="N594" s="75">
        <v>51.37</v>
      </c>
      <c r="O594" s="79"/>
      <c r="P594" s="75">
        <f>N594*M591</f>
        <v>3.8527499999999995</v>
      </c>
      <c r="Q594" s="75">
        <v>37.756999999999998</v>
      </c>
      <c r="R594" s="75">
        <f>P594*Q594</f>
        <v>145.46828174999996</v>
      </c>
    </row>
    <row r="595" spans="1:18" ht="15.6" x14ac:dyDescent="0.3">
      <c r="A595" s="118"/>
      <c r="B595" s="118"/>
      <c r="C595" s="81">
        <v>4</v>
      </c>
      <c r="D595" s="119" t="s">
        <v>35</v>
      </c>
      <c r="E595" s="119"/>
      <c r="F595" s="119"/>
      <c r="G595" s="119"/>
      <c r="H595" s="119"/>
      <c r="I595" s="118"/>
      <c r="J595" s="118"/>
      <c r="K595" s="79"/>
      <c r="L595" s="79"/>
      <c r="M595" s="79"/>
      <c r="N595" s="75">
        <v>57007.25</v>
      </c>
      <c r="O595" s="79"/>
      <c r="P595" s="75">
        <f>N595*M591</f>
        <v>4275.5437499999998</v>
      </c>
      <c r="Q595" s="75">
        <v>13.002000000000001</v>
      </c>
      <c r="R595" s="75">
        <f>P595*Q595</f>
        <v>55590.619837500002</v>
      </c>
    </row>
    <row r="596" spans="1:18" ht="15.6" x14ac:dyDescent="0.3">
      <c r="A596" s="118"/>
      <c r="B596" s="118"/>
      <c r="C596" s="79"/>
      <c r="D596" s="119" t="s">
        <v>36</v>
      </c>
      <c r="E596" s="119"/>
      <c r="F596" s="119"/>
      <c r="G596" s="119"/>
      <c r="H596" s="119"/>
      <c r="I596" s="118"/>
      <c r="J596" s="118"/>
      <c r="K596" s="75">
        <v>371</v>
      </c>
      <c r="L596" s="79"/>
      <c r="M596" s="75">
        <f>K596*M591</f>
        <v>27.824999999999999</v>
      </c>
      <c r="N596" s="79"/>
      <c r="O596" s="79"/>
      <c r="P596" s="79"/>
      <c r="Q596" s="79"/>
      <c r="R596" s="80"/>
    </row>
    <row r="597" spans="1:18" ht="15.6" x14ac:dyDescent="0.3">
      <c r="A597" s="118"/>
      <c r="B597" s="118"/>
      <c r="C597" s="79"/>
      <c r="D597" s="119" t="s">
        <v>37</v>
      </c>
      <c r="E597" s="119"/>
      <c r="F597" s="119"/>
      <c r="G597" s="119"/>
      <c r="H597" s="119"/>
      <c r="I597" s="118"/>
      <c r="J597" s="118"/>
      <c r="K597" s="75">
        <v>4.93</v>
      </c>
      <c r="L597" s="79"/>
      <c r="M597" s="75">
        <f>K597*M591</f>
        <v>0.36974999999999997</v>
      </c>
      <c r="N597" s="79"/>
      <c r="O597" s="79"/>
      <c r="P597" s="79"/>
      <c r="Q597" s="79"/>
      <c r="R597" s="80"/>
    </row>
    <row r="598" spans="1:18" ht="15.6" x14ac:dyDescent="0.3">
      <c r="A598" s="118"/>
      <c r="B598" s="118"/>
      <c r="C598" s="79"/>
      <c r="D598" s="119" t="s">
        <v>38</v>
      </c>
      <c r="E598" s="119"/>
      <c r="F598" s="119"/>
      <c r="G598" s="119"/>
      <c r="H598" s="119"/>
      <c r="I598" s="118"/>
      <c r="J598" s="118"/>
      <c r="K598" s="79"/>
      <c r="L598" s="79"/>
      <c r="M598" s="79"/>
      <c r="N598" s="79"/>
      <c r="O598" s="79"/>
      <c r="P598" s="75">
        <f>SUM(P592:P595)</f>
        <v>4536.3119999999999</v>
      </c>
      <c r="Q598" s="79"/>
      <c r="R598" s="75">
        <f>SUM(R592:R595)</f>
        <v>65111.046223500001</v>
      </c>
    </row>
    <row r="599" spans="1:18" ht="15.6" x14ac:dyDescent="0.3">
      <c r="A599" s="118"/>
      <c r="B599" s="118"/>
      <c r="C599" s="79"/>
      <c r="D599" s="119" t="s">
        <v>39</v>
      </c>
      <c r="E599" s="119"/>
      <c r="F599" s="119"/>
      <c r="G599" s="119"/>
      <c r="H599" s="119"/>
      <c r="I599" s="118"/>
      <c r="J599" s="118"/>
      <c r="K599" s="79"/>
      <c r="L599" s="79"/>
      <c r="M599" s="79"/>
      <c r="N599" s="79"/>
      <c r="O599" s="79"/>
      <c r="P599" s="75">
        <f>P592+P594</f>
        <v>241.2</v>
      </c>
      <c r="Q599" s="79"/>
      <c r="R599" s="75">
        <f>R592+R594</f>
        <v>9106.9884000000002</v>
      </c>
    </row>
    <row r="600" spans="1:18" ht="31.2" x14ac:dyDescent="0.3">
      <c r="A600" s="118"/>
      <c r="B600" s="118"/>
      <c r="C600" s="75" t="s">
        <v>40</v>
      </c>
      <c r="D600" s="119" t="s">
        <v>41</v>
      </c>
      <c r="E600" s="119"/>
      <c r="F600" s="119"/>
      <c r="G600" s="119"/>
      <c r="H600" s="119"/>
      <c r="I600" s="120" t="s">
        <v>42</v>
      </c>
      <c r="J600" s="120"/>
      <c r="K600" s="75">
        <v>112</v>
      </c>
      <c r="L600" s="79"/>
      <c r="M600" s="79"/>
      <c r="N600" s="79"/>
      <c r="O600" s="79"/>
      <c r="P600" s="75">
        <f>P599*K600/100</f>
        <v>270.14400000000001</v>
      </c>
      <c r="Q600" s="79"/>
      <c r="R600" s="75">
        <f>R599*K600/100</f>
        <v>10199.827008</v>
      </c>
    </row>
    <row r="601" spans="1:18" ht="31.2" x14ac:dyDescent="0.3">
      <c r="A601" s="118"/>
      <c r="B601" s="118"/>
      <c r="C601" s="75" t="s">
        <v>43</v>
      </c>
      <c r="D601" s="119" t="s">
        <v>44</v>
      </c>
      <c r="E601" s="119"/>
      <c r="F601" s="119"/>
      <c r="G601" s="119"/>
      <c r="H601" s="119"/>
      <c r="I601" s="120" t="s">
        <v>42</v>
      </c>
      <c r="J601" s="120"/>
      <c r="K601" s="75">
        <v>65</v>
      </c>
      <c r="L601" s="79"/>
      <c r="M601" s="79"/>
      <c r="N601" s="79"/>
      <c r="O601" s="79"/>
      <c r="P601" s="75">
        <f>P599*K601/100</f>
        <v>156.78</v>
      </c>
      <c r="Q601" s="79"/>
      <c r="R601" s="75">
        <f>R599*K601/100</f>
        <v>5919.5424600000006</v>
      </c>
    </row>
    <row r="602" spans="1:18" ht="15.6" x14ac:dyDescent="0.3">
      <c r="A602" s="118"/>
      <c r="B602" s="118"/>
      <c r="C602" s="79"/>
      <c r="D602" s="119" t="s">
        <v>45</v>
      </c>
      <c r="E602" s="119"/>
      <c r="F602" s="119"/>
      <c r="G602" s="119"/>
      <c r="H602" s="119"/>
      <c r="I602" s="118"/>
      <c r="J602" s="118"/>
      <c r="K602" s="79"/>
      <c r="L602" s="79"/>
      <c r="M602" s="79"/>
      <c r="N602" s="79"/>
      <c r="O602" s="79"/>
      <c r="P602" s="75">
        <f>P601+P600+P598</f>
        <v>4963.2359999999999</v>
      </c>
      <c r="Q602" s="79"/>
      <c r="R602" s="75">
        <f>R601+R600+R598</f>
        <v>81230.415691500006</v>
      </c>
    </row>
    <row r="603" spans="1:18" ht="15.6" x14ac:dyDescent="0.3">
      <c r="A603" s="123"/>
      <c r="B603" s="123"/>
      <c r="C603" s="79"/>
      <c r="D603" s="120" t="s">
        <v>152</v>
      </c>
      <c r="E603" s="120"/>
      <c r="F603" s="120"/>
      <c r="G603" s="120"/>
      <c r="H603" s="120"/>
      <c r="I603" s="123"/>
      <c r="J603" s="123"/>
      <c r="K603" s="79"/>
      <c r="L603" s="79"/>
      <c r="M603" s="79"/>
      <c r="N603" s="79"/>
      <c r="O603" s="79"/>
      <c r="P603" s="75">
        <f>P590+P602</f>
        <v>6101.8287074999998</v>
      </c>
      <c r="Q603" s="79"/>
      <c r="R603" s="75">
        <f>R590+R602</f>
        <v>105145.49696757751</v>
      </c>
    </row>
    <row r="604" spans="1:18" ht="15.6" x14ac:dyDescent="0.3">
      <c r="A604" s="127" t="s">
        <v>153</v>
      </c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</row>
    <row r="605" spans="1:18" ht="18.600000000000001" customHeight="1" x14ac:dyDescent="0.3">
      <c r="A605" s="121" t="s">
        <v>560</v>
      </c>
      <c r="B605" s="121"/>
      <c r="C605" s="75" t="s">
        <v>155</v>
      </c>
      <c r="D605" s="120" t="s">
        <v>154</v>
      </c>
      <c r="E605" s="120"/>
      <c r="F605" s="120"/>
      <c r="G605" s="120"/>
      <c r="H605" s="120"/>
      <c r="I605" s="122" t="s">
        <v>76</v>
      </c>
      <c r="J605" s="122"/>
      <c r="K605" s="76">
        <v>1.3</v>
      </c>
      <c r="L605" s="77">
        <v>1</v>
      </c>
      <c r="M605" s="77">
        <f>K605</f>
        <v>1.3</v>
      </c>
      <c r="N605" s="78"/>
      <c r="O605" s="79"/>
      <c r="P605" s="79"/>
      <c r="Q605" s="79"/>
      <c r="R605" s="80"/>
    </row>
    <row r="606" spans="1:18" ht="15.6" x14ac:dyDescent="0.3">
      <c r="A606" s="118"/>
      <c r="B606" s="118"/>
      <c r="C606" s="81">
        <v>1</v>
      </c>
      <c r="D606" s="119" t="s">
        <v>32</v>
      </c>
      <c r="E606" s="119"/>
      <c r="F606" s="119"/>
      <c r="G606" s="119"/>
      <c r="H606" s="119"/>
      <c r="I606" s="118"/>
      <c r="J606" s="118"/>
      <c r="K606" s="79"/>
      <c r="L606" s="79"/>
      <c r="M606" s="79"/>
      <c r="N606" s="75">
        <v>1074.7</v>
      </c>
      <c r="O606" s="79"/>
      <c r="P606" s="75">
        <f>M605*N606</f>
        <v>1397.1100000000001</v>
      </c>
      <c r="Q606" s="75">
        <v>37.756999999999998</v>
      </c>
      <c r="R606" s="75">
        <f>P606*Q606</f>
        <v>52750.682270000005</v>
      </c>
    </row>
    <row r="607" spans="1:18" ht="15.6" x14ac:dyDescent="0.3">
      <c r="A607" s="118"/>
      <c r="B607" s="118"/>
      <c r="C607" s="81">
        <v>3</v>
      </c>
      <c r="D607" s="119" t="s">
        <v>33</v>
      </c>
      <c r="E607" s="119"/>
      <c r="F607" s="119"/>
      <c r="G607" s="119"/>
      <c r="H607" s="119"/>
      <c r="I607" s="118"/>
      <c r="J607" s="118"/>
      <c r="K607" s="79"/>
      <c r="L607" s="79"/>
      <c r="M607" s="79"/>
      <c r="N607" s="75">
        <v>83.83</v>
      </c>
      <c r="O607" s="79"/>
      <c r="P607" s="75">
        <f>N607*M605</f>
        <v>108.979</v>
      </c>
      <c r="Q607" s="82">
        <v>21.128</v>
      </c>
      <c r="R607" s="75">
        <f>P607*Q607</f>
        <v>2302.5083119999999</v>
      </c>
    </row>
    <row r="608" spans="1:18" ht="15.6" x14ac:dyDescent="0.3">
      <c r="A608" s="118"/>
      <c r="B608" s="118"/>
      <c r="C608" s="81">
        <v>2</v>
      </c>
      <c r="D608" s="119" t="s">
        <v>34</v>
      </c>
      <c r="E608" s="119"/>
      <c r="F608" s="119"/>
      <c r="G608" s="119"/>
      <c r="H608" s="119"/>
      <c r="I608" s="118"/>
      <c r="J608" s="118"/>
      <c r="K608" s="79"/>
      <c r="L608" s="79"/>
      <c r="M608" s="79"/>
      <c r="N608" s="75">
        <v>4.87</v>
      </c>
      <c r="O608" s="79"/>
      <c r="P608" s="75">
        <f>N608*M605</f>
        <v>6.3310000000000004</v>
      </c>
      <c r="Q608" s="75">
        <v>37.756999999999998</v>
      </c>
      <c r="R608" s="75">
        <f>P608*Q608</f>
        <v>239.03956700000001</v>
      </c>
    </row>
    <row r="609" spans="1:18" ht="15.6" x14ac:dyDescent="0.3">
      <c r="A609" s="118"/>
      <c r="B609" s="118"/>
      <c r="C609" s="81">
        <v>4</v>
      </c>
      <c r="D609" s="119" t="s">
        <v>35</v>
      </c>
      <c r="E609" s="119"/>
      <c r="F609" s="119"/>
      <c r="G609" s="119"/>
      <c r="H609" s="119"/>
      <c r="I609" s="118"/>
      <c r="J609" s="118"/>
      <c r="K609" s="79"/>
      <c r="L609" s="79"/>
      <c r="M609" s="79"/>
      <c r="N609" s="75">
        <v>21264.59</v>
      </c>
      <c r="O609" s="79"/>
      <c r="P609" s="75">
        <f>N609*M605</f>
        <v>27643.967000000001</v>
      </c>
      <c r="Q609" s="75">
        <v>13.002000000000001</v>
      </c>
      <c r="R609" s="75">
        <f>P609*Q609</f>
        <v>359426.85893400002</v>
      </c>
    </row>
    <row r="610" spans="1:18" ht="15.6" x14ac:dyDescent="0.3">
      <c r="A610" s="118"/>
      <c r="B610" s="118"/>
      <c r="C610" s="79"/>
      <c r="D610" s="119" t="s">
        <v>36</v>
      </c>
      <c r="E610" s="119"/>
      <c r="F610" s="119"/>
      <c r="G610" s="119"/>
      <c r="H610" s="119"/>
      <c r="I610" s="118"/>
      <c r="J610" s="118"/>
      <c r="K610" s="75">
        <v>114.33</v>
      </c>
      <c r="L610" s="79"/>
      <c r="M610" s="75">
        <f>K610*M605</f>
        <v>148.62899999999999</v>
      </c>
      <c r="N610" s="79"/>
      <c r="O610" s="79"/>
      <c r="P610" s="79"/>
      <c r="Q610" s="79"/>
      <c r="R610" s="80"/>
    </row>
    <row r="611" spans="1:18" ht="15.6" x14ac:dyDescent="0.3">
      <c r="A611" s="118"/>
      <c r="B611" s="118"/>
      <c r="C611" s="79"/>
      <c r="D611" s="119" t="s">
        <v>37</v>
      </c>
      <c r="E611" s="119"/>
      <c r="F611" s="119"/>
      <c r="G611" s="119"/>
      <c r="H611" s="119"/>
      <c r="I611" s="118"/>
      <c r="J611" s="118"/>
      <c r="K611" s="75">
        <v>0.42</v>
      </c>
      <c r="L611" s="79"/>
      <c r="M611" s="75">
        <f>K611*M605</f>
        <v>0.54600000000000004</v>
      </c>
      <c r="N611" s="79"/>
      <c r="O611" s="79"/>
      <c r="P611" s="79"/>
      <c r="Q611" s="79"/>
      <c r="R611" s="80"/>
    </row>
    <row r="612" spans="1:18" ht="15.6" x14ac:dyDescent="0.3">
      <c r="A612" s="118"/>
      <c r="B612" s="118"/>
      <c r="C612" s="79"/>
      <c r="D612" s="119" t="s">
        <v>38</v>
      </c>
      <c r="E612" s="119"/>
      <c r="F612" s="119"/>
      <c r="G612" s="119"/>
      <c r="H612" s="119"/>
      <c r="I612" s="118"/>
      <c r="J612" s="118"/>
      <c r="K612" s="79"/>
      <c r="L612" s="79"/>
      <c r="M612" s="79"/>
      <c r="N612" s="79"/>
      <c r="O612" s="79"/>
      <c r="P612" s="75">
        <f>SUM(P606:P609)</f>
        <v>29156.387000000002</v>
      </c>
      <c r="Q612" s="79"/>
      <c r="R612" s="75">
        <f>SUM(R606:R609)</f>
        <v>414719.08908300003</v>
      </c>
    </row>
    <row r="613" spans="1:18" ht="15.6" x14ac:dyDescent="0.3">
      <c r="A613" s="118"/>
      <c r="B613" s="118"/>
      <c r="C613" s="79"/>
      <c r="D613" s="119" t="s">
        <v>39</v>
      </c>
      <c r="E613" s="119"/>
      <c r="F613" s="119"/>
      <c r="G613" s="119"/>
      <c r="H613" s="119"/>
      <c r="I613" s="118"/>
      <c r="J613" s="118"/>
      <c r="K613" s="79"/>
      <c r="L613" s="79"/>
      <c r="M613" s="79"/>
      <c r="N613" s="79"/>
      <c r="O613" s="79"/>
      <c r="P613" s="75">
        <f>P606+P608</f>
        <v>1403.441</v>
      </c>
      <c r="Q613" s="79"/>
      <c r="R613" s="75">
        <f>R606+R608</f>
        <v>52989.721837000005</v>
      </c>
    </row>
    <row r="614" spans="1:18" ht="31.2" x14ac:dyDescent="0.3">
      <c r="A614" s="118"/>
      <c r="B614" s="118"/>
      <c r="C614" s="75" t="s">
        <v>40</v>
      </c>
      <c r="D614" s="119" t="s">
        <v>41</v>
      </c>
      <c r="E614" s="119"/>
      <c r="F614" s="119"/>
      <c r="G614" s="119"/>
      <c r="H614" s="119"/>
      <c r="I614" s="120" t="s">
        <v>42</v>
      </c>
      <c r="J614" s="120"/>
      <c r="K614" s="75">
        <v>112</v>
      </c>
      <c r="L614" s="79"/>
      <c r="M614" s="79"/>
      <c r="N614" s="79"/>
      <c r="O614" s="79"/>
      <c r="P614" s="75">
        <f>P613*K614/100</f>
        <v>1571.85392</v>
      </c>
      <c r="Q614" s="79"/>
      <c r="R614" s="75">
        <f>R613*K614/100</f>
        <v>59348.488457440006</v>
      </c>
    </row>
    <row r="615" spans="1:18" ht="31.2" x14ac:dyDescent="0.3">
      <c r="A615" s="118"/>
      <c r="B615" s="118"/>
      <c r="C615" s="75" t="s">
        <v>43</v>
      </c>
      <c r="D615" s="119" t="s">
        <v>44</v>
      </c>
      <c r="E615" s="119"/>
      <c r="F615" s="119"/>
      <c r="G615" s="119"/>
      <c r="H615" s="119"/>
      <c r="I615" s="120" t="s">
        <v>42</v>
      </c>
      <c r="J615" s="120"/>
      <c r="K615" s="75">
        <v>65</v>
      </c>
      <c r="L615" s="79"/>
      <c r="M615" s="79"/>
      <c r="N615" s="79"/>
      <c r="O615" s="79"/>
      <c r="P615" s="75">
        <f>P613*K615/100</f>
        <v>912.23665000000005</v>
      </c>
      <c r="Q615" s="79"/>
      <c r="R615" s="75">
        <f>R613*K615/100</f>
        <v>34443.319194050004</v>
      </c>
    </row>
    <row r="616" spans="1:18" ht="15.6" x14ac:dyDescent="0.3">
      <c r="A616" s="118"/>
      <c r="B616" s="118"/>
      <c r="C616" s="79"/>
      <c r="D616" s="119" t="s">
        <v>45</v>
      </c>
      <c r="E616" s="119"/>
      <c r="F616" s="119"/>
      <c r="G616" s="119"/>
      <c r="H616" s="119"/>
      <c r="I616" s="118"/>
      <c r="J616" s="118"/>
      <c r="K616" s="79"/>
      <c r="L616" s="79"/>
      <c r="M616" s="79"/>
      <c r="N616" s="79"/>
      <c r="O616" s="79"/>
      <c r="P616" s="75">
        <f>P615+P614+P612</f>
        <v>31640.477570000003</v>
      </c>
      <c r="Q616" s="79"/>
      <c r="R616" s="75">
        <f>R615+R614+R612</f>
        <v>508510.89673449006</v>
      </c>
    </row>
    <row r="617" spans="1:18" ht="18" customHeight="1" x14ac:dyDescent="0.3">
      <c r="A617" s="121" t="s">
        <v>561</v>
      </c>
      <c r="B617" s="121"/>
      <c r="C617" s="75" t="s">
        <v>157</v>
      </c>
      <c r="D617" s="120" t="s">
        <v>156</v>
      </c>
      <c r="E617" s="120"/>
      <c r="F617" s="120"/>
      <c r="G617" s="120"/>
      <c r="H617" s="120"/>
      <c r="I617" s="122" t="s">
        <v>108</v>
      </c>
      <c r="J617" s="122"/>
      <c r="K617" s="76">
        <v>3.07</v>
      </c>
      <c r="L617" s="77">
        <v>1</v>
      </c>
      <c r="M617" s="77">
        <f>K617</f>
        <v>3.07</v>
      </c>
      <c r="N617" s="78"/>
      <c r="O617" s="79"/>
      <c r="P617" s="79"/>
      <c r="Q617" s="79"/>
      <c r="R617" s="80"/>
    </row>
    <row r="618" spans="1:18" ht="15.6" x14ac:dyDescent="0.3">
      <c r="A618" s="118"/>
      <c r="B618" s="118"/>
      <c r="C618" s="81">
        <v>1</v>
      </c>
      <c r="D618" s="119" t="s">
        <v>32</v>
      </c>
      <c r="E618" s="119"/>
      <c r="F618" s="119"/>
      <c r="G618" s="119"/>
      <c r="H618" s="119"/>
      <c r="I618" s="118"/>
      <c r="J618" s="118"/>
      <c r="K618" s="79"/>
      <c r="L618" s="79"/>
      <c r="M618" s="79"/>
      <c r="N618" s="75">
        <v>61.14</v>
      </c>
      <c r="O618" s="79"/>
      <c r="P618" s="75">
        <f>M617*N618</f>
        <v>187.69979999999998</v>
      </c>
      <c r="Q618" s="75">
        <v>37.756999999999998</v>
      </c>
      <c r="R618" s="75">
        <f>P618*Q618</f>
        <v>7086.9813485999994</v>
      </c>
    </row>
    <row r="619" spans="1:18" ht="15.6" x14ac:dyDescent="0.3">
      <c r="A619" s="118"/>
      <c r="B619" s="118"/>
      <c r="C619" s="81">
        <v>3</v>
      </c>
      <c r="D619" s="119" t="s">
        <v>33</v>
      </c>
      <c r="E619" s="119"/>
      <c r="F619" s="119"/>
      <c r="G619" s="119"/>
      <c r="H619" s="119"/>
      <c r="I619" s="118"/>
      <c r="J619" s="118"/>
      <c r="K619" s="79"/>
      <c r="L619" s="79"/>
      <c r="M619" s="79"/>
      <c r="N619" s="75">
        <v>11.24</v>
      </c>
      <c r="O619" s="79"/>
      <c r="P619" s="75">
        <f>N619*M617</f>
        <v>34.506799999999998</v>
      </c>
      <c r="Q619" s="82">
        <v>21.128</v>
      </c>
      <c r="R619" s="75">
        <f>P619*Q619</f>
        <v>729.05967039999996</v>
      </c>
    </row>
    <row r="620" spans="1:18" ht="15.6" x14ac:dyDescent="0.3">
      <c r="A620" s="118"/>
      <c r="B620" s="118"/>
      <c r="C620" s="81">
        <v>2</v>
      </c>
      <c r="D620" s="119" t="s">
        <v>34</v>
      </c>
      <c r="E620" s="119"/>
      <c r="F620" s="119"/>
      <c r="G620" s="119"/>
      <c r="H620" s="119"/>
      <c r="I620" s="118"/>
      <c r="J620" s="118"/>
      <c r="K620" s="79"/>
      <c r="L620" s="79"/>
      <c r="M620" s="79"/>
      <c r="N620" s="75">
        <v>0</v>
      </c>
      <c r="O620" s="79"/>
      <c r="P620" s="75">
        <f>N620*M617</f>
        <v>0</v>
      </c>
      <c r="Q620" s="75">
        <v>37.756999999999998</v>
      </c>
      <c r="R620" s="75">
        <f>P620*Q620</f>
        <v>0</v>
      </c>
    </row>
    <row r="621" spans="1:18" ht="15.6" x14ac:dyDescent="0.3">
      <c r="A621" s="118"/>
      <c r="B621" s="118"/>
      <c r="C621" s="81">
        <v>4</v>
      </c>
      <c r="D621" s="119" t="s">
        <v>35</v>
      </c>
      <c r="E621" s="119"/>
      <c r="F621" s="119"/>
      <c r="G621" s="119"/>
      <c r="H621" s="119"/>
      <c r="I621" s="118"/>
      <c r="J621" s="118"/>
      <c r="K621" s="79"/>
      <c r="L621" s="79"/>
      <c r="M621" s="79"/>
      <c r="N621" s="75">
        <v>1357.27</v>
      </c>
      <c r="O621" s="79"/>
      <c r="P621" s="75">
        <f>N621*M617</f>
        <v>4166.8188999999993</v>
      </c>
      <c r="Q621" s="75">
        <v>13.002000000000001</v>
      </c>
      <c r="R621" s="75">
        <f>P621*Q621</f>
        <v>54176.979337799996</v>
      </c>
    </row>
    <row r="622" spans="1:18" ht="15.6" x14ac:dyDescent="0.3">
      <c r="A622" s="118"/>
      <c r="B622" s="118"/>
      <c r="C622" s="79"/>
      <c r="D622" s="119" t="s">
        <v>36</v>
      </c>
      <c r="E622" s="119"/>
      <c r="F622" s="119"/>
      <c r="G622" s="119"/>
      <c r="H622" s="119"/>
      <c r="I622" s="118"/>
      <c r="J622" s="118"/>
      <c r="K622" s="75">
        <v>6.66</v>
      </c>
      <c r="L622" s="79"/>
      <c r="M622" s="75">
        <f>K622*M617</f>
        <v>20.446200000000001</v>
      </c>
      <c r="N622" s="79"/>
      <c r="O622" s="79"/>
      <c r="P622" s="79"/>
      <c r="Q622" s="79"/>
      <c r="R622" s="80"/>
    </row>
    <row r="623" spans="1:18" ht="15.6" x14ac:dyDescent="0.3">
      <c r="A623" s="118"/>
      <c r="B623" s="118"/>
      <c r="C623" s="79"/>
      <c r="D623" s="119" t="s">
        <v>37</v>
      </c>
      <c r="E623" s="119"/>
      <c r="F623" s="119"/>
      <c r="G623" s="119"/>
      <c r="H623" s="119"/>
      <c r="I623" s="118"/>
      <c r="J623" s="118"/>
      <c r="K623" s="75">
        <v>0</v>
      </c>
      <c r="L623" s="79"/>
      <c r="M623" s="75">
        <f>K623*M617</f>
        <v>0</v>
      </c>
      <c r="N623" s="79"/>
      <c r="O623" s="79"/>
      <c r="P623" s="79"/>
      <c r="Q623" s="79"/>
      <c r="R623" s="80"/>
    </row>
    <row r="624" spans="1:18" ht="15.6" x14ac:dyDescent="0.3">
      <c r="A624" s="118"/>
      <c r="B624" s="118"/>
      <c r="C624" s="79"/>
      <c r="D624" s="119" t="s">
        <v>38</v>
      </c>
      <c r="E624" s="119"/>
      <c r="F624" s="119"/>
      <c r="G624" s="119"/>
      <c r="H624" s="119"/>
      <c r="I624" s="118"/>
      <c r="J624" s="118"/>
      <c r="K624" s="79"/>
      <c r="L624" s="79"/>
      <c r="M624" s="79"/>
      <c r="N624" s="79"/>
      <c r="O624" s="79"/>
      <c r="P624" s="75">
        <f>SUM(P618:P621)</f>
        <v>4389.0254999999997</v>
      </c>
      <c r="Q624" s="79"/>
      <c r="R624" s="75">
        <f>SUM(R618:R621)</f>
        <v>61993.020356799992</v>
      </c>
    </row>
    <row r="625" spans="1:18" ht="15.6" x14ac:dyDescent="0.3">
      <c r="A625" s="118"/>
      <c r="B625" s="118"/>
      <c r="C625" s="79"/>
      <c r="D625" s="119" t="s">
        <v>39</v>
      </c>
      <c r="E625" s="119"/>
      <c r="F625" s="119"/>
      <c r="G625" s="119"/>
      <c r="H625" s="119"/>
      <c r="I625" s="118"/>
      <c r="J625" s="118"/>
      <c r="K625" s="79"/>
      <c r="L625" s="79"/>
      <c r="M625" s="79"/>
      <c r="N625" s="79"/>
      <c r="O625" s="79"/>
      <c r="P625" s="75">
        <f>P618+P620</f>
        <v>187.69979999999998</v>
      </c>
      <c r="Q625" s="79"/>
      <c r="R625" s="75">
        <f>R618+R620</f>
        <v>7086.9813485999994</v>
      </c>
    </row>
    <row r="626" spans="1:18" ht="31.2" x14ac:dyDescent="0.3">
      <c r="A626" s="118"/>
      <c r="B626" s="118"/>
      <c r="C626" s="75" t="s">
        <v>40</v>
      </c>
      <c r="D626" s="119" t="s">
        <v>41</v>
      </c>
      <c r="E626" s="119"/>
      <c r="F626" s="119"/>
      <c r="G626" s="119"/>
      <c r="H626" s="119"/>
      <c r="I626" s="120" t="s">
        <v>42</v>
      </c>
      <c r="J626" s="120"/>
      <c r="K626" s="75">
        <v>112</v>
      </c>
      <c r="L626" s="79"/>
      <c r="M626" s="79"/>
      <c r="N626" s="79"/>
      <c r="O626" s="79"/>
      <c r="P626" s="75">
        <f>P625*K626/100</f>
        <v>210.22377599999999</v>
      </c>
      <c r="Q626" s="79"/>
      <c r="R626" s="75">
        <f>R625*K626/100</f>
        <v>7937.4191104319998</v>
      </c>
    </row>
    <row r="627" spans="1:18" ht="31.2" x14ac:dyDescent="0.3">
      <c r="A627" s="118"/>
      <c r="B627" s="118"/>
      <c r="C627" s="75" t="s">
        <v>43</v>
      </c>
      <c r="D627" s="119" t="s">
        <v>44</v>
      </c>
      <c r="E627" s="119"/>
      <c r="F627" s="119"/>
      <c r="G627" s="119"/>
      <c r="H627" s="119"/>
      <c r="I627" s="120" t="s">
        <v>42</v>
      </c>
      <c r="J627" s="120"/>
      <c r="K627" s="75">
        <v>65</v>
      </c>
      <c r="L627" s="79"/>
      <c r="M627" s="79"/>
      <c r="N627" s="79"/>
      <c r="O627" s="79"/>
      <c r="P627" s="75">
        <f>P625*K627/100</f>
        <v>122.00487</v>
      </c>
      <c r="Q627" s="79"/>
      <c r="R627" s="75">
        <f>R625*K627/100</f>
        <v>4606.5378765899995</v>
      </c>
    </row>
    <row r="628" spans="1:18" ht="15.6" x14ac:dyDescent="0.3">
      <c r="A628" s="118"/>
      <c r="B628" s="118"/>
      <c r="C628" s="79"/>
      <c r="D628" s="119" t="s">
        <v>45</v>
      </c>
      <c r="E628" s="119"/>
      <c r="F628" s="119"/>
      <c r="G628" s="119"/>
      <c r="H628" s="119"/>
      <c r="I628" s="118"/>
      <c r="J628" s="118"/>
      <c r="K628" s="79"/>
      <c r="L628" s="79"/>
      <c r="M628" s="79"/>
      <c r="N628" s="79"/>
      <c r="O628" s="79"/>
      <c r="P628" s="75">
        <f>P627+P626+P624</f>
        <v>4721.2541459999993</v>
      </c>
      <c r="Q628" s="79"/>
      <c r="R628" s="75">
        <f>R627+R626+R624</f>
        <v>74536.977343821985</v>
      </c>
    </row>
    <row r="629" spans="1:18" ht="15.6" x14ac:dyDescent="0.3">
      <c r="A629" s="121"/>
      <c r="B629" s="121"/>
      <c r="C629" s="79"/>
      <c r="D629" s="120" t="s">
        <v>158</v>
      </c>
      <c r="E629" s="120"/>
      <c r="F629" s="120"/>
      <c r="G629" s="120"/>
      <c r="H629" s="120"/>
      <c r="I629" s="123"/>
      <c r="J629" s="123"/>
      <c r="K629" s="79"/>
      <c r="L629" s="79"/>
      <c r="M629" s="79"/>
      <c r="N629" s="79"/>
      <c r="O629" s="79"/>
      <c r="P629" s="75">
        <f>P616+P628</f>
        <v>36361.731716000002</v>
      </c>
      <c r="Q629" s="79"/>
      <c r="R629" s="75">
        <f>R616+R628</f>
        <v>583047.87407831207</v>
      </c>
    </row>
    <row r="630" spans="1:18" ht="15.6" x14ac:dyDescent="0.3">
      <c r="A630" s="121" t="s">
        <v>547</v>
      </c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</row>
    <row r="631" spans="1:18" ht="36" customHeight="1" x14ac:dyDescent="0.3">
      <c r="A631" s="121" t="s">
        <v>562</v>
      </c>
      <c r="B631" s="121"/>
      <c r="C631" s="75" t="s">
        <v>549</v>
      </c>
      <c r="D631" s="120" t="s">
        <v>548</v>
      </c>
      <c r="E631" s="120"/>
      <c r="F631" s="120"/>
      <c r="G631" s="120"/>
      <c r="H631" s="120"/>
      <c r="I631" s="122" t="s">
        <v>76</v>
      </c>
      <c r="J631" s="122"/>
      <c r="K631" s="76">
        <v>1.18</v>
      </c>
      <c r="L631" s="77">
        <v>1</v>
      </c>
      <c r="M631" s="77">
        <f>K631</f>
        <v>1.18</v>
      </c>
      <c r="N631" s="78"/>
      <c r="O631" s="79"/>
      <c r="P631" s="79"/>
      <c r="Q631" s="79"/>
      <c r="R631" s="80"/>
    </row>
    <row r="632" spans="1:18" ht="15.6" x14ac:dyDescent="0.3">
      <c r="A632" s="118"/>
      <c r="B632" s="118"/>
      <c r="C632" s="81">
        <v>1</v>
      </c>
      <c r="D632" s="119" t="s">
        <v>32</v>
      </c>
      <c r="E632" s="119"/>
      <c r="F632" s="119"/>
      <c r="G632" s="119"/>
      <c r="H632" s="119"/>
      <c r="I632" s="118"/>
      <c r="J632" s="118"/>
      <c r="K632" s="79"/>
      <c r="L632" s="79"/>
      <c r="M632" s="79"/>
      <c r="N632" s="75">
        <v>3375.68</v>
      </c>
      <c r="O632" s="79"/>
      <c r="P632" s="75">
        <f>M631*N632</f>
        <v>3983.3023999999996</v>
      </c>
      <c r="Q632" s="75">
        <v>37.756999999999998</v>
      </c>
      <c r="R632" s="75">
        <f>P632*Q632</f>
        <v>150397.54871679997</v>
      </c>
    </row>
    <row r="633" spans="1:18" ht="15.6" x14ac:dyDescent="0.3">
      <c r="A633" s="118"/>
      <c r="B633" s="118"/>
      <c r="C633" s="81">
        <v>3</v>
      </c>
      <c r="D633" s="119" t="s">
        <v>33</v>
      </c>
      <c r="E633" s="119"/>
      <c r="F633" s="119"/>
      <c r="G633" s="119"/>
      <c r="H633" s="119"/>
      <c r="I633" s="118"/>
      <c r="J633" s="118"/>
      <c r="K633" s="79"/>
      <c r="L633" s="79"/>
      <c r="M633" s="79"/>
      <c r="N633" s="75">
        <v>5242.6899999999996</v>
      </c>
      <c r="O633" s="79"/>
      <c r="P633" s="75">
        <f>N633*M631</f>
        <v>6186.3741999999993</v>
      </c>
      <c r="Q633" s="82">
        <v>21.128</v>
      </c>
      <c r="R633" s="75">
        <f>P633*Q633</f>
        <v>130705.71409759998</v>
      </c>
    </row>
    <row r="634" spans="1:18" ht="15.6" x14ac:dyDescent="0.3">
      <c r="A634" s="118"/>
      <c r="B634" s="118"/>
      <c r="C634" s="81">
        <v>2</v>
      </c>
      <c r="D634" s="119" t="s">
        <v>34</v>
      </c>
      <c r="E634" s="119"/>
      <c r="F634" s="119"/>
      <c r="G634" s="119"/>
      <c r="H634" s="119"/>
      <c r="I634" s="118"/>
      <c r="J634" s="118"/>
      <c r="K634" s="79"/>
      <c r="L634" s="79"/>
      <c r="M634" s="79"/>
      <c r="N634" s="75">
        <v>289.22000000000003</v>
      </c>
      <c r="O634" s="79"/>
      <c r="P634" s="75">
        <f>N634*M631</f>
        <v>341.27960000000002</v>
      </c>
      <c r="Q634" s="75">
        <v>37.756999999999998</v>
      </c>
      <c r="R634" s="75">
        <f>P634*Q634</f>
        <v>12885.6938572</v>
      </c>
    </row>
    <row r="635" spans="1:18" ht="15.6" x14ac:dyDescent="0.3">
      <c r="A635" s="118"/>
      <c r="B635" s="118"/>
      <c r="C635" s="81">
        <v>4</v>
      </c>
      <c r="D635" s="119" t="s">
        <v>35</v>
      </c>
      <c r="E635" s="119"/>
      <c r="F635" s="119"/>
      <c r="G635" s="119"/>
      <c r="H635" s="119"/>
      <c r="I635" s="118"/>
      <c r="J635" s="118"/>
      <c r="K635" s="79"/>
      <c r="L635" s="79"/>
      <c r="M635" s="79"/>
      <c r="N635" s="75">
        <v>20112.14</v>
      </c>
      <c r="O635" s="79"/>
      <c r="P635" s="75">
        <f>N635*M631</f>
        <v>23732.325199999999</v>
      </c>
      <c r="Q635" s="75">
        <v>13.002000000000001</v>
      </c>
      <c r="R635" s="75">
        <f>P635*Q635</f>
        <v>308567.69225040002</v>
      </c>
    </row>
    <row r="636" spans="1:18" ht="15.6" x14ac:dyDescent="0.3">
      <c r="A636" s="118"/>
      <c r="B636" s="118"/>
      <c r="C636" s="79"/>
      <c r="D636" s="119" t="s">
        <v>36</v>
      </c>
      <c r="E636" s="119"/>
      <c r="F636" s="119"/>
      <c r="G636" s="119"/>
      <c r="H636" s="119"/>
      <c r="I636" s="118"/>
      <c r="J636" s="118"/>
      <c r="K636" s="75">
        <v>376.33</v>
      </c>
      <c r="L636" s="79"/>
      <c r="M636" s="75">
        <f>K636*M631</f>
        <v>444.06939999999997</v>
      </c>
      <c r="N636" s="79"/>
      <c r="O636" s="79"/>
      <c r="P636" s="79"/>
      <c r="Q636" s="79"/>
      <c r="R636" s="80"/>
    </row>
    <row r="637" spans="1:18" ht="15.6" x14ac:dyDescent="0.3">
      <c r="A637" s="118"/>
      <c r="B637" s="118"/>
      <c r="C637" s="79"/>
      <c r="D637" s="119" t="s">
        <v>37</v>
      </c>
      <c r="E637" s="119"/>
      <c r="F637" s="119"/>
      <c r="G637" s="119"/>
      <c r="H637" s="119"/>
      <c r="I637" s="118"/>
      <c r="J637" s="118"/>
      <c r="K637" s="75">
        <v>22.56</v>
      </c>
      <c r="L637" s="79"/>
      <c r="M637" s="75">
        <f>K637*M631</f>
        <v>26.620799999999996</v>
      </c>
      <c r="N637" s="79"/>
      <c r="O637" s="79"/>
      <c r="P637" s="79"/>
      <c r="Q637" s="79"/>
      <c r="R637" s="80"/>
    </row>
    <row r="638" spans="1:18" ht="15.6" x14ac:dyDescent="0.3">
      <c r="A638" s="118"/>
      <c r="B638" s="118"/>
      <c r="C638" s="79"/>
      <c r="D638" s="119" t="s">
        <v>38</v>
      </c>
      <c r="E638" s="119"/>
      <c r="F638" s="119"/>
      <c r="G638" s="119"/>
      <c r="H638" s="119"/>
      <c r="I638" s="118"/>
      <c r="J638" s="118"/>
      <c r="K638" s="79"/>
      <c r="L638" s="79"/>
      <c r="M638" s="79"/>
      <c r="N638" s="79"/>
      <c r="O638" s="79"/>
      <c r="P638" s="75">
        <f>SUM(P632:P635)</f>
        <v>34243.2814</v>
      </c>
      <c r="Q638" s="79"/>
      <c r="R638" s="75">
        <f>SUM(R632:R635)</f>
        <v>602556.64892199996</v>
      </c>
    </row>
    <row r="639" spans="1:18" ht="15.6" x14ac:dyDescent="0.3">
      <c r="A639" s="118"/>
      <c r="B639" s="118"/>
      <c r="C639" s="79"/>
      <c r="D639" s="119" t="s">
        <v>39</v>
      </c>
      <c r="E639" s="119"/>
      <c r="F639" s="119"/>
      <c r="G639" s="119"/>
      <c r="H639" s="119"/>
      <c r="I639" s="118"/>
      <c r="J639" s="118"/>
      <c r="K639" s="79"/>
      <c r="L639" s="79"/>
      <c r="M639" s="79"/>
      <c r="N639" s="79"/>
      <c r="O639" s="79"/>
      <c r="P639" s="75">
        <f>P632+P634</f>
        <v>4324.5819999999994</v>
      </c>
      <c r="Q639" s="79"/>
      <c r="R639" s="75">
        <f>R632+R634</f>
        <v>163283.24257399997</v>
      </c>
    </row>
    <row r="640" spans="1:18" ht="31.2" x14ac:dyDescent="0.3">
      <c r="A640" s="118"/>
      <c r="B640" s="118"/>
      <c r="C640" s="75" t="s">
        <v>40</v>
      </c>
      <c r="D640" s="119" t="s">
        <v>41</v>
      </c>
      <c r="E640" s="119"/>
      <c r="F640" s="119"/>
      <c r="G640" s="119"/>
      <c r="H640" s="119"/>
      <c r="I640" s="120" t="s">
        <v>42</v>
      </c>
      <c r="J640" s="120"/>
      <c r="K640" s="75">
        <v>100</v>
      </c>
      <c r="L640" s="79"/>
      <c r="M640" s="79"/>
      <c r="N640" s="79"/>
      <c r="O640" s="79"/>
      <c r="P640" s="75">
        <f>P639*K640/100</f>
        <v>4324.5819999999994</v>
      </c>
      <c r="Q640" s="79"/>
      <c r="R640" s="75">
        <f>R639*K640/100</f>
        <v>163283.24257399997</v>
      </c>
    </row>
    <row r="641" spans="1:18" ht="31.2" x14ac:dyDescent="0.3">
      <c r="A641" s="118"/>
      <c r="B641" s="118"/>
      <c r="C641" s="75" t="s">
        <v>43</v>
      </c>
      <c r="D641" s="119" t="s">
        <v>44</v>
      </c>
      <c r="E641" s="119"/>
      <c r="F641" s="119"/>
      <c r="G641" s="119"/>
      <c r="H641" s="119"/>
      <c r="I641" s="120" t="s">
        <v>42</v>
      </c>
      <c r="J641" s="120"/>
      <c r="K641" s="75">
        <v>49</v>
      </c>
      <c r="L641" s="79"/>
      <c r="M641" s="79"/>
      <c r="N641" s="79"/>
      <c r="O641" s="79"/>
      <c r="P641" s="75">
        <f>P639*K641/100</f>
        <v>2119.0451799999996</v>
      </c>
      <c r="Q641" s="79"/>
      <c r="R641" s="75">
        <f>R639*K641/100</f>
        <v>80008.788861259993</v>
      </c>
    </row>
    <row r="642" spans="1:18" ht="15.6" x14ac:dyDescent="0.3">
      <c r="A642" s="120"/>
      <c r="B642" s="120"/>
      <c r="C642" s="85" t="s">
        <v>551</v>
      </c>
      <c r="D642" s="133" t="s">
        <v>550</v>
      </c>
      <c r="E642" s="133"/>
      <c r="F642" s="133"/>
      <c r="G642" s="133"/>
      <c r="H642" s="133"/>
      <c r="I642" s="120" t="s">
        <v>53</v>
      </c>
      <c r="J642" s="120"/>
      <c r="K642" s="80">
        <v>118</v>
      </c>
      <c r="L642" s="80"/>
      <c r="M642" s="80"/>
      <c r="N642" s="80">
        <v>469.03</v>
      </c>
      <c r="O642" s="80"/>
      <c r="P642" s="80">
        <f>K642*N642</f>
        <v>55345.539999999994</v>
      </c>
      <c r="Q642" s="80">
        <v>13.002000000000001</v>
      </c>
      <c r="R642" s="80">
        <f>P642*Q642</f>
        <v>719602.71107999992</v>
      </c>
    </row>
    <row r="643" spans="1:18" ht="15.6" x14ac:dyDescent="0.3">
      <c r="A643" s="118"/>
      <c r="B643" s="118"/>
      <c r="C643" s="79"/>
      <c r="D643" s="119" t="s">
        <v>45</v>
      </c>
      <c r="E643" s="119"/>
      <c r="F643" s="119"/>
      <c r="G643" s="119"/>
      <c r="H643" s="119"/>
      <c r="I643" s="118"/>
      <c r="J643" s="118"/>
      <c r="K643" s="79"/>
      <c r="L643" s="79"/>
      <c r="M643" s="79"/>
      <c r="N643" s="79"/>
      <c r="O643" s="79"/>
      <c r="P643" s="75">
        <f>P641+P640+P638+P642</f>
        <v>96032.448579999997</v>
      </c>
      <c r="Q643" s="79"/>
      <c r="R643" s="75">
        <f>R641+R640+R638+R642</f>
        <v>1565451.39143726</v>
      </c>
    </row>
    <row r="644" spans="1:18" ht="15.6" x14ac:dyDescent="0.3">
      <c r="A644" s="121"/>
      <c r="B644" s="121"/>
      <c r="C644" s="79"/>
      <c r="D644" s="120" t="s">
        <v>552</v>
      </c>
      <c r="E644" s="120"/>
      <c r="F644" s="120"/>
      <c r="G644" s="120"/>
      <c r="H644" s="120"/>
      <c r="I644" s="123"/>
      <c r="J644" s="123"/>
      <c r="K644" s="79"/>
      <c r="L644" s="79"/>
      <c r="M644" s="79"/>
      <c r="N644" s="79"/>
      <c r="O644" s="79"/>
      <c r="P644" s="75">
        <f>P643+P642</f>
        <v>151377.98858</v>
      </c>
      <c r="Q644" s="79"/>
      <c r="R644" s="75">
        <f>R643+R642</f>
        <v>2285054.1025172598</v>
      </c>
    </row>
    <row r="645" spans="1:18" ht="15.6" x14ac:dyDescent="0.3">
      <c r="A645" s="118"/>
      <c r="B645" s="118"/>
      <c r="C645" s="64"/>
      <c r="D645" s="130" t="s">
        <v>192</v>
      </c>
      <c r="E645" s="130"/>
      <c r="F645" s="130"/>
      <c r="G645" s="130"/>
      <c r="H645" s="131"/>
      <c r="I645" s="131"/>
      <c r="J645" s="91"/>
      <c r="K645" s="91"/>
      <c r="L645" s="91"/>
      <c r="M645" s="91"/>
      <c r="N645" s="91"/>
      <c r="O645" s="91"/>
      <c r="P645" s="92">
        <f>P56+P201+P251+P333+P434+P462+P513+P551+P577+P603+P629+P347+P644</f>
        <v>626299.08343650005</v>
      </c>
      <c r="Q645" s="93"/>
      <c r="R645" s="92">
        <f>R56+R201+R251+R333+R434+R462+R513+R551+R577+R603+R629+R347+R644</f>
        <v>10580802.86120927</v>
      </c>
    </row>
    <row r="646" spans="1:18" ht="15.6" x14ac:dyDescent="0.3">
      <c r="A646" s="118"/>
      <c r="B646" s="118"/>
      <c r="C646" s="64"/>
      <c r="D646" s="130" t="s">
        <v>193</v>
      </c>
      <c r="E646" s="130"/>
      <c r="F646" s="130"/>
      <c r="G646" s="130"/>
      <c r="H646" s="131" t="s">
        <v>42</v>
      </c>
      <c r="I646" s="131"/>
      <c r="J646" s="33"/>
      <c r="K646" s="33">
        <v>20</v>
      </c>
      <c r="L646" s="91"/>
      <c r="M646" s="91"/>
      <c r="N646" s="91"/>
      <c r="O646" s="33"/>
      <c r="P646" s="63">
        <f>P645*0.2</f>
        <v>125259.81668730002</v>
      </c>
      <c r="Q646" s="63"/>
      <c r="R646" s="63">
        <f>R645*0.2</f>
        <v>2116160.5722418539</v>
      </c>
    </row>
    <row r="647" spans="1:18" ht="15.6" x14ac:dyDescent="0.3">
      <c r="A647" s="118"/>
      <c r="B647" s="118"/>
      <c r="C647" s="64"/>
      <c r="D647" s="132" t="s">
        <v>192</v>
      </c>
      <c r="E647" s="132"/>
      <c r="F647" s="132"/>
      <c r="G647" s="132"/>
      <c r="H647" s="131"/>
      <c r="I647" s="131"/>
      <c r="J647" s="91"/>
      <c r="K647" s="91"/>
      <c r="L647" s="91"/>
      <c r="M647" s="91"/>
      <c r="N647" s="91"/>
      <c r="O647" s="64"/>
      <c r="P647" s="63">
        <f>P645+P646</f>
        <v>751558.90012380003</v>
      </c>
      <c r="Q647" s="63"/>
      <c r="R647" s="63">
        <f>R645+R646</f>
        <v>12696963.433451124</v>
      </c>
    </row>
    <row r="648" spans="1:18" ht="15.6" x14ac:dyDescent="0.3">
      <c r="A648" s="159"/>
      <c r="B648" s="159"/>
    </row>
    <row r="649" spans="1:18" ht="15.6" x14ac:dyDescent="0.3">
      <c r="A649" s="159"/>
      <c r="B649" s="159"/>
    </row>
    <row r="650" spans="1:18" ht="15.6" x14ac:dyDescent="0.3">
      <c r="A650" s="159"/>
      <c r="B650" s="159"/>
    </row>
    <row r="651" spans="1:18" ht="15.6" x14ac:dyDescent="0.3">
      <c r="A651" s="159"/>
      <c r="B651" s="159"/>
    </row>
    <row r="652" spans="1:18" ht="15.6" x14ac:dyDescent="0.3">
      <c r="A652" s="159"/>
      <c r="B652" s="159"/>
    </row>
    <row r="653" spans="1:18" ht="15.6" x14ac:dyDescent="0.3">
      <c r="A653" s="159"/>
      <c r="B653" s="159"/>
    </row>
    <row r="654" spans="1:18" ht="15.6" x14ac:dyDescent="0.3">
      <c r="A654" s="159"/>
      <c r="B654" s="159"/>
    </row>
    <row r="655" spans="1:18" ht="15.6" x14ac:dyDescent="0.3">
      <c r="A655" s="159"/>
      <c r="B655" s="159"/>
    </row>
    <row r="656" spans="1:18" ht="15.6" x14ac:dyDescent="0.3">
      <c r="A656" s="160"/>
      <c r="B656" s="160"/>
    </row>
    <row r="657" spans="1:2" x14ac:dyDescent="0.3">
      <c r="A657" s="129"/>
      <c r="B657" s="129"/>
    </row>
    <row r="658" spans="1:2" x14ac:dyDescent="0.3">
      <c r="A658" s="129"/>
      <c r="B658" s="129"/>
    </row>
    <row r="659" spans="1:2" x14ac:dyDescent="0.3">
      <c r="A659" s="129"/>
      <c r="B659" s="129"/>
    </row>
    <row r="695" spans="1:18" s="1" customFormat="1" x14ac:dyDescent="0.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</row>
  </sheetData>
  <mergeCells count="1915">
    <mergeCell ref="A644:B644"/>
    <mergeCell ref="D644:H644"/>
    <mergeCell ref="I644:J644"/>
    <mergeCell ref="D637:H637"/>
    <mergeCell ref="I637:J637"/>
    <mergeCell ref="A638:B638"/>
    <mergeCell ref="D638:H638"/>
    <mergeCell ref="I638:J638"/>
    <mergeCell ref="A639:B639"/>
    <mergeCell ref="D639:H639"/>
    <mergeCell ref="I639:J639"/>
    <mergeCell ref="A640:B640"/>
    <mergeCell ref="D640:H640"/>
    <mergeCell ref="I640:J640"/>
    <mergeCell ref="A641:B641"/>
    <mergeCell ref="D641:H641"/>
    <mergeCell ref="I641:J641"/>
    <mergeCell ref="A643:B643"/>
    <mergeCell ref="D643:H643"/>
    <mergeCell ref="I643:J643"/>
    <mergeCell ref="A642:B642"/>
    <mergeCell ref="D642:H642"/>
    <mergeCell ref="I642:J642"/>
    <mergeCell ref="A422:B422"/>
    <mergeCell ref="D422:H422"/>
    <mergeCell ref="I422:J422"/>
    <mergeCell ref="A423:B423"/>
    <mergeCell ref="D423:H423"/>
    <mergeCell ref="I423:J423"/>
    <mergeCell ref="A424:B424"/>
    <mergeCell ref="D424:H424"/>
    <mergeCell ref="I424:J424"/>
    <mergeCell ref="A425:B425"/>
    <mergeCell ref="D425:H425"/>
    <mergeCell ref="I425:J425"/>
    <mergeCell ref="A432:B432"/>
    <mergeCell ref="D432:H432"/>
    <mergeCell ref="I432:J432"/>
    <mergeCell ref="A433:B433"/>
    <mergeCell ref="D433:H433"/>
    <mergeCell ref="I433:J433"/>
    <mergeCell ref="A426:B426"/>
    <mergeCell ref="D426:H426"/>
    <mergeCell ref="I426:J426"/>
    <mergeCell ref="A427:B427"/>
    <mergeCell ref="D427:H427"/>
    <mergeCell ref="I427:J427"/>
    <mergeCell ref="A428:B428"/>
    <mergeCell ref="D428:H428"/>
    <mergeCell ref="I428:J428"/>
    <mergeCell ref="A429:B429"/>
    <mergeCell ref="D429:H429"/>
    <mergeCell ref="I429:J429"/>
    <mergeCell ref="A430:B430"/>
    <mergeCell ref="D430:H430"/>
    <mergeCell ref="A417:B417"/>
    <mergeCell ref="D417:H417"/>
    <mergeCell ref="I417:J417"/>
    <mergeCell ref="A418:B418"/>
    <mergeCell ref="D418:H418"/>
    <mergeCell ref="I418:J418"/>
    <mergeCell ref="A419:B419"/>
    <mergeCell ref="D419:H419"/>
    <mergeCell ref="I419:J419"/>
    <mergeCell ref="A420:B420"/>
    <mergeCell ref="D420:H420"/>
    <mergeCell ref="I420:J420"/>
    <mergeCell ref="A421:B421"/>
    <mergeCell ref="D421:H421"/>
    <mergeCell ref="I421:J421"/>
    <mergeCell ref="A411:B411"/>
    <mergeCell ref="D411:H411"/>
    <mergeCell ref="I411:J411"/>
    <mergeCell ref="A412:B412"/>
    <mergeCell ref="D412:H412"/>
    <mergeCell ref="I412:J412"/>
    <mergeCell ref="A413:B413"/>
    <mergeCell ref="D413:H413"/>
    <mergeCell ref="I413:J413"/>
    <mergeCell ref="A414:B414"/>
    <mergeCell ref="D414:H414"/>
    <mergeCell ref="I414:J414"/>
    <mergeCell ref="A415:B415"/>
    <mergeCell ref="D415:H415"/>
    <mergeCell ref="I415:J415"/>
    <mergeCell ref="A416:B416"/>
    <mergeCell ref="D416:H416"/>
    <mergeCell ref="A376:B376"/>
    <mergeCell ref="D376:H376"/>
    <mergeCell ref="I376:J376"/>
    <mergeCell ref="A377:B377"/>
    <mergeCell ref="D377:H377"/>
    <mergeCell ref="I377:J377"/>
    <mergeCell ref="A378:B378"/>
    <mergeCell ref="D378:H378"/>
    <mergeCell ref="I378:J378"/>
    <mergeCell ref="I416:J416"/>
    <mergeCell ref="D380:H380"/>
    <mergeCell ref="I380:J380"/>
    <mergeCell ref="A381:B381"/>
    <mergeCell ref="D381:H381"/>
    <mergeCell ref="I381:J381"/>
    <mergeCell ref="A382:B382"/>
    <mergeCell ref="D382:H382"/>
    <mergeCell ref="I382:J382"/>
    <mergeCell ref="A383:B383"/>
    <mergeCell ref="D383:H383"/>
    <mergeCell ref="I383:J383"/>
    <mergeCell ref="A384:B384"/>
    <mergeCell ref="D384:H384"/>
    <mergeCell ref="I384:J384"/>
    <mergeCell ref="A410:B410"/>
    <mergeCell ref="D410:H410"/>
    <mergeCell ref="I410:J410"/>
    <mergeCell ref="A392:B392"/>
    <mergeCell ref="D392:H392"/>
    <mergeCell ref="I392:J392"/>
    <mergeCell ref="A393:B393"/>
    <mergeCell ref="D393:H393"/>
    <mergeCell ref="D370:H370"/>
    <mergeCell ref="I370:J370"/>
    <mergeCell ref="A371:B371"/>
    <mergeCell ref="A373:B373"/>
    <mergeCell ref="D373:H373"/>
    <mergeCell ref="I373:J373"/>
    <mergeCell ref="A374:B374"/>
    <mergeCell ref="D374:H374"/>
    <mergeCell ref="I374:J374"/>
    <mergeCell ref="A375:B375"/>
    <mergeCell ref="D375:H375"/>
    <mergeCell ref="I375:J375"/>
    <mergeCell ref="D371:H371"/>
    <mergeCell ref="I371:J371"/>
    <mergeCell ref="A372:B372"/>
    <mergeCell ref="D372:H372"/>
    <mergeCell ref="I372:J372"/>
    <mergeCell ref="A183:B183"/>
    <mergeCell ref="D183:H183"/>
    <mergeCell ref="I183:J183"/>
    <mergeCell ref="A184:B184"/>
    <mergeCell ref="D184:H184"/>
    <mergeCell ref="I184:J184"/>
    <mergeCell ref="A185:B185"/>
    <mergeCell ref="D185:H185"/>
    <mergeCell ref="I185:J185"/>
    <mergeCell ref="A186:B186"/>
    <mergeCell ref="D186:H186"/>
    <mergeCell ref="I186:J186"/>
    <mergeCell ref="A187:B187"/>
    <mergeCell ref="D187:H187"/>
    <mergeCell ref="I187:J187"/>
    <mergeCell ref="A188:B188"/>
    <mergeCell ref="D188:H188"/>
    <mergeCell ref="I188:J188"/>
    <mergeCell ref="A177:B177"/>
    <mergeCell ref="D177:H177"/>
    <mergeCell ref="I177:J177"/>
    <mergeCell ref="A178:B178"/>
    <mergeCell ref="D178:H178"/>
    <mergeCell ref="I178:J178"/>
    <mergeCell ref="A179:B179"/>
    <mergeCell ref="D179:H179"/>
    <mergeCell ref="I179:J179"/>
    <mergeCell ref="A180:B180"/>
    <mergeCell ref="D180:H180"/>
    <mergeCell ref="I180:J180"/>
    <mergeCell ref="A181:B181"/>
    <mergeCell ref="D181:H181"/>
    <mergeCell ref="I181:J181"/>
    <mergeCell ref="A182:B182"/>
    <mergeCell ref="D182:H182"/>
    <mergeCell ref="I182:J182"/>
    <mergeCell ref="I636:J636"/>
    <mergeCell ref="D7:G8"/>
    <mergeCell ref="A655:B655"/>
    <mergeCell ref="D628:H628"/>
    <mergeCell ref="I628:J628"/>
    <mergeCell ref="A656:B656"/>
    <mergeCell ref="D629:H629"/>
    <mergeCell ref="I629:J629"/>
    <mergeCell ref="A649:B649"/>
    <mergeCell ref="D622:H622"/>
    <mergeCell ref="I622:J622"/>
    <mergeCell ref="A650:B650"/>
    <mergeCell ref="D623:H623"/>
    <mergeCell ref="I623:J623"/>
    <mergeCell ref="A651:B651"/>
    <mergeCell ref="D624:H624"/>
    <mergeCell ref="I624:J624"/>
    <mergeCell ref="A652:B652"/>
    <mergeCell ref="D625:H625"/>
    <mergeCell ref="I625:J625"/>
    <mergeCell ref="A653:B653"/>
    <mergeCell ref="D626:H626"/>
    <mergeCell ref="I626:J626"/>
    <mergeCell ref="A654:B654"/>
    <mergeCell ref="D627:H627"/>
    <mergeCell ref="I627:J627"/>
    <mergeCell ref="A628:B628"/>
    <mergeCell ref="A629:B629"/>
    <mergeCell ref="D617:H617"/>
    <mergeCell ref="I617:J617"/>
    <mergeCell ref="A645:B645"/>
    <mergeCell ref="D618:H618"/>
    <mergeCell ref="A615:B615"/>
    <mergeCell ref="D615:H615"/>
    <mergeCell ref="I615:J615"/>
    <mergeCell ref="I618:J618"/>
    <mergeCell ref="A646:B646"/>
    <mergeCell ref="D619:H619"/>
    <mergeCell ref="I619:J619"/>
    <mergeCell ref="A647:B647"/>
    <mergeCell ref="D620:H620"/>
    <mergeCell ref="I620:J620"/>
    <mergeCell ref="A648:B648"/>
    <mergeCell ref="D621:H621"/>
    <mergeCell ref="I621:J621"/>
    <mergeCell ref="A622:B622"/>
    <mergeCell ref="A623:B623"/>
    <mergeCell ref="A624:B624"/>
    <mergeCell ref="A625:B625"/>
    <mergeCell ref="A626:B626"/>
    <mergeCell ref="A627:B627"/>
    <mergeCell ref="A630:R630"/>
    <mergeCell ref="A637:B637"/>
    <mergeCell ref="A633:B633"/>
    <mergeCell ref="D633:H633"/>
    <mergeCell ref="I633:J633"/>
    <mergeCell ref="A634:B634"/>
    <mergeCell ref="D634:H634"/>
    <mergeCell ref="I634:J634"/>
    <mergeCell ref="A635:B635"/>
    <mergeCell ref="D635:H635"/>
    <mergeCell ref="I635:J635"/>
    <mergeCell ref="A636:B636"/>
    <mergeCell ref="D636:H636"/>
    <mergeCell ref="A607:B607"/>
    <mergeCell ref="D607:H607"/>
    <mergeCell ref="I607:J607"/>
    <mergeCell ref="A608:B608"/>
    <mergeCell ref="D608:H608"/>
    <mergeCell ref="I608:J608"/>
    <mergeCell ref="A609:B609"/>
    <mergeCell ref="D609:H609"/>
    <mergeCell ref="I609:J609"/>
    <mergeCell ref="A616:B616"/>
    <mergeCell ref="D616:H616"/>
    <mergeCell ref="I616:J616"/>
    <mergeCell ref="A617:B617"/>
    <mergeCell ref="A618:B618"/>
    <mergeCell ref="A619:B619"/>
    <mergeCell ref="A620:B620"/>
    <mergeCell ref="A621:B621"/>
    <mergeCell ref="A610:B610"/>
    <mergeCell ref="D610:H610"/>
    <mergeCell ref="I610:J610"/>
    <mergeCell ref="A611:B611"/>
    <mergeCell ref="D611:H611"/>
    <mergeCell ref="I611:J611"/>
    <mergeCell ref="A612:B612"/>
    <mergeCell ref="D612:H612"/>
    <mergeCell ref="I612:J612"/>
    <mergeCell ref="A613:B613"/>
    <mergeCell ref="D613:H613"/>
    <mergeCell ref="I613:J613"/>
    <mergeCell ref="A614:B614"/>
    <mergeCell ref="D614:H614"/>
    <mergeCell ref="I614:J614"/>
    <mergeCell ref="A600:B600"/>
    <mergeCell ref="D600:H600"/>
    <mergeCell ref="I600:J600"/>
    <mergeCell ref="A601:B601"/>
    <mergeCell ref="D601:H601"/>
    <mergeCell ref="I601:J601"/>
    <mergeCell ref="A602:B602"/>
    <mergeCell ref="D602:H602"/>
    <mergeCell ref="I602:J602"/>
    <mergeCell ref="A603:B603"/>
    <mergeCell ref="D603:H603"/>
    <mergeCell ref="I603:J603"/>
    <mergeCell ref="A604:R604"/>
    <mergeCell ref="A605:B605"/>
    <mergeCell ref="D605:H605"/>
    <mergeCell ref="I605:J605"/>
    <mergeCell ref="A606:B606"/>
    <mergeCell ref="D606:H606"/>
    <mergeCell ref="I606:J606"/>
    <mergeCell ref="A594:B594"/>
    <mergeCell ref="D594:H594"/>
    <mergeCell ref="I594:J594"/>
    <mergeCell ref="A595:B595"/>
    <mergeCell ref="D595:H595"/>
    <mergeCell ref="I595:J595"/>
    <mergeCell ref="A596:B596"/>
    <mergeCell ref="D596:H596"/>
    <mergeCell ref="I596:J596"/>
    <mergeCell ref="A597:B597"/>
    <mergeCell ref="D597:H597"/>
    <mergeCell ref="I597:J597"/>
    <mergeCell ref="A598:B598"/>
    <mergeCell ref="D598:H598"/>
    <mergeCell ref="I598:J598"/>
    <mergeCell ref="A599:B599"/>
    <mergeCell ref="D599:H599"/>
    <mergeCell ref="I599:J599"/>
    <mergeCell ref="A588:B588"/>
    <mergeCell ref="D588:H588"/>
    <mergeCell ref="I588:J588"/>
    <mergeCell ref="A589:B589"/>
    <mergeCell ref="D589:H589"/>
    <mergeCell ref="I589:J589"/>
    <mergeCell ref="A590:B590"/>
    <mergeCell ref="D590:H590"/>
    <mergeCell ref="I590:J590"/>
    <mergeCell ref="A591:B591"/>
    <mergeCell ref="D591:H591"/>
    <mergeCell ref="I591:J591"/>
    <mergeCell ref="A592:B592"/>
    <mergeCell ref="D592:H592"/>
    <mergeCell ref="I592:J592"/>
    <mergeCell ref="A593:B593"/>
    <mergeCell ref="D593:H593"/>
    <mergeCell ref="I593:J593"/>
    <mergeCell ref="D582:H582"/>
    <mergeCell ref="I582:J582"/>
    <mergeCell ref="A583:B583"/>
    <mergeCell ref="D583:H583"/>
    <mergeCell ref="I583:J583"/>
    <mergeCell ref="A584:B584"/>
    <mergeCell ref="D584:H584"/>
    <mergeCell ref="I584:J584"/>
    <mergeCell ref="A585:B585"/>
    <mergeCell ref="D585:H585"/>
    <mergeCell ref="I585:J585"/>
    <mergeCell ref="A586:B586"/>
    <mergeCell ref="D586:H586"/>
    <mergeCell ref="I586:J586"/>
    <mergeCell ref="A587:B587"/>
    <mergeCell ref="D587:H587"/>
    <mergeCell ref="I587:J587"/>
    <mergeCell ref="A577:B577"/>
    <mergeCell ref="D577:H577"/>
    <mergeCell ref="I577:J577"/>
    <mergeCell ref="A631:B631"/>
    <mergeCell ref="D631:H631"/>
    <mergeCell ref="I631:J631"/>
    <mergeCell ref="A632:B632"/>
    <mergeCell ref="D632:H632"/>
    <mergeCell ref="I632:J632"/>
    <mergeCell ref="A573:B573"/>
    <mergeCell ref="D573:H573"/>
    <mergeCell ref="I573:J573"/>
    <mergeCell ref="A574:B574"/>
    <mergeCell ref="D574:H574"/>
    <mergeCell ref="I574:J574"/>
    <mergeCell ref="A575:B575"/>
    <mergeCell ref="D575:H575"/>
    <mergeCell ref="I575:J575"/>
    <mergeCell ref="A576:B576"/>
    <mergeCell ref="D576:H576"/>
    <mergeCell ref="I576:J576"/>
    <mergeCell ref="A578:R578"/>
    <mergeCell ref="A579:B579"/>
    <mergeCell ref="D579:H579"/>
    <mergeCell ref="I579:J579"/>
    <mergeCell ref="A580:B580"/>
    <mergeCell ref="D580:H580"/>
    <mergeCell ref="I580:J580"/>
    <mergeCell ref="A581:B581"/>
    <mergeCell ref="D581:H581"/>
    <mergeCell ref="I581:J581"/>
    <mergeCell ref="A582:B582"/>
    <mergeCell ref="A567:B567"/>
    <mergeCell ref="D567:H567"/>
    <mergeCell ref="I567:J567"/>
    <mergeCell ref="A568:B568"/>
    <mergeCell ref="D568:H568"/>
    <mergeCell ref="I568:J568"/>
    <mergeCell ref="A569:B569"/>
    <mergeCell ref="D569:H569"/>
    <mergeCell ref="I569:J569"/>
    <mergeCell ref="A570:B570"/>
    <mergeCell ref="D570:H570"/>
    <mergeCell ref="I570:J570"/>
    <mergeCell ref="A571:B571"/>
    <mergeCell ref="D571:H571"/>
    <mergeCell ref="I571:J571"/>
    <mergeCell ref="A572:B572"/>
    <mergeCell ref="D572:H572"/>
    <mergeCell ref="I572:J572"/>
    <mergeCell ref="A561:B561"/>
    <mergeCell ref="D561:H561"/>
    <mergeCell ref="I561:J561"/>
    <mergeCell ref="A562:B562"/>
    <mergeCell ref="D562:H562"/>
    <mergeCell ref="I562:J562"/>
    <mergeCell ref="A563:B563"/>
    <mergeCell ref="D563:H563"/>
    <mergeCell ref="I563:J563"/>
    <mergeCell ref="A564:B564"/>
    <mergeCell ref="D564:H564"/>
    <mergeCell ref="I564:J564"/>
    <mergeCell ref="A565:B565"/>
    <mergeCell ref="D565:H565"/>
    <mergeCell ref="I565:J565"/>
    <mergeCell ref="A566:B566"/>
    <mergeCell ref="D566:H566"/>
    <mergeCell ref="I566:J566"/>
    <mergeCell ref="A555:B555"/>
    <mergeCell ref="D555:H555"/>
    <mergeCell ref="I555:J555"/>
    <mergeCell ref="A556:B556"/>
    <mergeCell ref="D556:H556"/>
    <mergeCell ref="I556:J556"/>
    <mergeCell ref="A557:B557"/>
    <mergeCell ref="D557:H557"/>
    <mergeCell ref="I557:J557"/>
    <mergeCell ref="A558:B558"/>
    <mergeCell ref="D558:H558"/>
    <mergeCell ref="I558:J558"/>
    <mergeCell ref="A559:B559"/>
    <mergeCell ref="D559:H559"/>
    <mergeCell ref="I559:J559"/>
    <mergeCell ref="A560:B560"/>
    <mergeCell ref="D560:H560"/>
    <mergeCell ref="I560:J560"/>
    <mergeCell ref="A552:R552"/>
    <mergeCell ref="A551:B551"/>
    <mergeCell ref="D551:H551"/>
    <mergeCell ref="I551:J551"/>
    <mergeCell ref="A553:B553"/>
    <mergeCell ref="D553:H553"/>
    <mergeCell ref="I553:J553"/>
    <mergeCell ref="A554:B554"/>
    <mergeCell ref="D554:H554"/>
    <mergeCell ref="I554:J554"/>
    <mergeCell ref="A548:B548"/>
    <mergeCell ref="D548:H548"/>
    <mergeCell ref="I548:J548"/>
    <mergeCell ref="A549:B549"/>
    <mergeCell ref="D549:H549"/>
    <mergeCell ref="I549:J549"/>
    <mergeCell ref="A550:B550"/>
    <mergeCell ref="D550:H550"/>
    <mergeCell ref="I550:J550"/>
    <mergeCell ref="A542:B542"/>
    <mergeCell ref="D542:H542"/>
    <mergeCell ref="I542:J542"/>
    <mergeCell ref="A543:B543"/>
    <mergeCell ref="D543:H543"/>
    <mergeCell ref="I543:J543"/>
    <mergeCell ref="A544:B544"/>
    <mergeCell ref="D544:H544"/>
    <mergeCell ref="I544:J544"/>
    <mergeCell ref="A545:B545"/>
    <mergeCell ref="D545:H545"/>
    <mergeCell ref="I545:J545"/>
    <mergeCell ref="A546:B546"/>
    <mergeCell ref="D546:H546"/>
    <mergeCell ref="I546:J546"/>
    <mergeCell ref="A547:B547"/>
    <mergeCell ref="D547:H547"/>
    <mergeCell ref="I547:J547"/>
    <mergeCell ref="A536:B536"/>
    <mergeCell ref="D536:H536"/>
    <mergeCell ref="I536:J536"/>
    <mergeCell ref="A537:B537"/>
    <mergeCell ref="D537:H537"/>
    <mergeCell ref="I537:J537"/>
    <mergeCell ref="A538:B538"/>
    <mergeCell ref="D538:H538"/>
    <mergeCell ref="I538:J538"/>
    <mergeCell ref="A539:B539"/>
    <mergeCell ref="D539:H539"/>
    <mergeCell ref="I539:J539"/>
    <mergeCell ref="A540:B540"/>
    <mergeCell ref="D540:H540"/>
    <mergeCell ref="I540:J540"/>
    <mergeCell ref="A541:B541"/>
    <mergeCell ref="D541:H541"/>
    <mergeCell ref="I541:J541"/>
    <mergeCell ref="A530:B530"/>
    <mergeCell ref="D530:H530"/>
    <mergeCell ref="I530:J530"/>
    <mergeCell ref="A531:B531"/>
    <mergeCell ref="D531:H531"/>
    <mergeCell ref="I531:J531"/>
    <mergeCell ref="A532:B532"/>
    <mergeCell ref="D532:H532"/>
    <mergeCell ref="I532:J532"/>
    <mergeCell ref="A533:B533"/>
    <mergeCell ref="D533:H533"/>
    <mergeCell ref="I533:J533"/>
    <mergeCell ref="A534:B534"/>
    <mergeCell ref="D534:H534"/>
    <mergeCell ref="I534:J534"/>
    <mergeCell ref="A535:B535"/>
    <mergeCell ref="D535:H535"/>
    <mergeCell ref="I535:J535"/>
    <mergeCell ref="A524:B524"/>
    <mergeCell ref="D524:H524"/>
    <mergeCell ref="I524:J524"/>
    <mergeCell ref="A525:B525"/>
    <mergeCell ref="D525:H525"/>
    <mergeCell ref="I525:J525"/>
    <mergeCell ref="A526:B526"/>
    <mergeCell ref="D526:H526"/>
    <mergeCell ref="I526:J526"/>
    <mergeCell ref="A527:B527"/>
    <mergeCell ref="D527:H527"/>
    <mergeCell ref="I527:J527"/>
    <mergeCell ref="A528:B528"/>
    <mergeCell ref="D528:H528"/>
    <mergeCell ref="I528:J528"/>
    <mergeCell ref="A529:B529"/>
    <mergeCell ref="D529:H529"/>
    <mergeCell ref="I529:J529"/>
    <mergeCell ref="A518:B518"/>
    <mergeCell ref="D518:H518"/>
    <mergeCell ref="I518:J518"/>
    <mergeCell ref="A519:B519"/>
    <mergeCell ref="D519:H519"/>
    <mergeCell ref="I519:J519"/>
    <mergeCell ref="A520:B520"/>
    <mergeCell ref="D520:H520"/>
    <mergeCell ref="I520:J520"/>
    <mergeCell ref="A521:B521"/>
    <mergeCell ref="D521:H521"/>
    <mergeCell ref="I521:J521"/>
    <mergeCell ref="A522:B522"/>
    <mergeCell ref="D522:H522"/>
    <mergeCell ref="I522:J522"/>
    <mergeCell ref="A523:B523"/>
    <mergeCell ref="D523:H523"/>
    <mergeCell ref="I523:J523"/>
    <mergeCell ref="A513:B513"/>
    <mergeCell ref="D513:H513"/>
    <mergeCell ref="I513:J513"/>
    <mergeCell ref="A464:R464"/>
    <mergeCell ref="A514:R514"/>
    <mergeCell ref="A515:B515"/>
    <mergeCell ref="D515:H515"/>
    <mergeCell ref="I515:J515"/>
    <mergeCell ref="A516:B516"/>
    <mergeCell ref="D516:H516"/>
    <mergeCell ref="I516:J516"/>
    <mergeCell ref="A517:B517"/>
    <mergeCell ref="D517:H517"/>
    <mergeCell ref="I517:J517"/>
    <mergeCell ref="A500:B500"/>
    <mergeCell ref="D500:H500"/>
    <mergeCell ref="I500:J500"/>
    <mergeCell ref="A494:B494"/>
    <mergeCell ref="D494:H494"/>
    <mergeCell ref="I494:J494"/>
    <mergeCell ref="A495:B495"/>
    <mergeCell ref="D495:H495"/>
    <mergeCell ref="I495:J495"/>
    <mergeCell ref="A496:B496"/>
    <mergeCell ref="D496:H496"/>
    <mergeCell ref="I496:J496"/>
    <mergeCell ref="A497:B497"/>
    <mergeCell ref="D497:H497"/>
    <mergeCell ref="I497:J497"/>
    <mergeCell ref="A498:B498"/>
    <mergeCell ref="D498:H498"/>
    <mergeCell ref="I498:J498"/>
    <mergeCell ref="A472:B472"/>
    <mergeCell ref="D472:H472"/>
    <mergeCell ref="I472:J472"/>
    <mergeCell ref="A473:B473"/>
    <mergeCell ref="A475:B475"/>
    <mergeCell ref="D475:H475"/>
    <mergeCell ref="A476:B476"/>
    <mergeCell ref="D476:H476"/>
    <mergeCell ref="I476:J476"/>
    <mergeCell ref="A489:B489"/>
    <mergeCell ref="D489:H489"/>
    <mergeCell ref="I489:J489"/>
    <mergeCell ref="A490:B490"/>
    <mergeCell ref="D490:H490"/>
    <mergeCell ref="I490:J490"/>
    <mergeCell ref="A491:B491"/>
    <mergeCell ref="D491:H491"/>
    <mergeCell ref="I491:J491"/>
    <mergeCell ref="A477:B477"/>
    <mergeCell ref="D477:H477"/>
    <mergeCell ref="I477:J477"/>
    <mergeCell ref="A478:B478"/>
    <mergeCell ref="D478:H478"/>
    <mergeCell ref="I478:J478"/>
    <mergeCell ref="A479:B479"/>
    <mergeCell ref="D479:H479"/>
    <mergeCell ref="I479:J479"/>
    <mergeCell ref="A480:B480"/>
    <mergeCell ref="D480:H480"/>
    <mergeCell ref="I480:J480"/>
    <mergeCell ref="A481:B481"/>
    <mergeCell ref="D481:H481"/>
    <mergeCell ref="D465:H465"/>
    <mergeCell ref="I465:J465"/>
    <mergeCell ref="A466:B466"/>
    <mergeCell ref="D466:H466"/>
    <mergeCell ref="I466:J466"/>
    <mergeCell ref="A467:B467"/>
    <mergeCell ref="D467:H467"/>
    <mergeCell ref="I467:J467"/>
    <mergeCell ref="A468:B468"/>
    <mergeCell ref="D468:H468"/>
    <mergeCell ref="I468:J468"/>
    <mergeCell ref="A469:B469"/>
    <mergeCell ref="D469:H469"/>
    <mergeCell ref="I469:J469"/>
    <mergeCell ref="A470:B470"/>
    <mergeCell ref="D470:H470"/>
    <mergeCell ref="A471:B471"/>
    <mergeCell ref="D471:H471"/>
    <mergeCell ref="I471:J471"/>
    <mergeCell ref="I397:J397"/>
    <mergeCell ref="A396:B396"/>
    <mergeCell ref="D396:H396"/>
    <mergeCell ref="I396:J396"/>
    <mergeCell ref="A386:B386"/>
    <mergeCell ref="D386:H386"/>
    <mergeCell ref="I386:J386"/>
    <mergeCell ref="A387:B387"/>
    <mergeCell ref="D387:H387"/>
    <mergeCell ref="I387:J387"/>
    <mergeCell ref="A388:B388"/>
    <mergeCell ref="D388:H388"/>
    <mergeCell ref="I388:J388"/>
    <mergeCell ref="A389:B389"/>
    <mergeCell ref="D389:H389"/>
    <mergeCell ref="I389:J389"/>
    <mergeCell ref="A390:B390"/>
    <mergeCell ref="D390:H390"/>
    <mergeCell ref="I390:J390"/>
    <mergeCell ref="A391:B391"/>
    <mergeCell ref="D391:H391"/>
    <mergeCell ref="I391:J391"/>
    <mergeCell ref="I393:J393"/>
    <mergeCell ref="A394:B394"/>
    <mergeCell ref="D394:H394"/>
    <mergeCell ref="I394:J394"/>
    <mergeCell ref="A395:B395"/>
    <mergeCell ref="D395:H395"/>
    <mergeCell ref="I395:J395"/>
    <mergeCell ref="A397:B397"/>
    <mergeCell ref="D397:H397"/>
    <mergeCell ref="A385:B385"/>
    <mergeCell ref="D385:H385"/>
    <mergeCell ref="I385:J385"/>
    <mergeCell ref="A362:B362"/>
    <mergeCell ref="D362:H362"/>
    <mergeCell ref="I362:J362"/>
    <mergeCell ref="A363:B363"/>
    <mergeCell ref="D363:H363"/>
    <mergeCell ref="I363:J363"/>
    <mergeCell ref="A364:B364"/>
    <mergeCell ref="D364:H364"/>
    <mergeCell ref="I364:J364"/>
    <mergeCell ref="A365:B365"/>
    <mergeCell ref="D365:H365"/>
    <mergeCell ref="I365:J365"/>
    <mergeCell ref="A366:B366"/>
    <mergeCell ref="D366:H366"/>
    <mergeCell ref="I366:J366"/>
    <mergeCell ref="A367:B367"/>
    <mergeCell ref="D367:H367"/>
    <mergeCell ref="I367:J367"/>
    <mergeCell ref="A379:B379"/>
    <mergeCell ref="D379:H379"/>
    <mergeCell ref="I379:J379"/>
    <mergeCell ref="A380:B380"/>
    <mergeCell ref="A368:B368"/>
    <mergeCell ref="D368:H368"/>
    <mergeCell ref="I368:J368"/>
    <mergeCell ref="A369:B369"/>
    <mergeCell ref="D369:H369"/>
    <mergeCell ref="I369:J369"/>
    <mergeCell ref="A370:B370"/>
    <mergeCell ref="A361:B361"/>
    <mergeCell ref="D361:H361"/>
    <mergeCell ref="I361:J361"/>
    <mergeCell ref="A356:B356"/>
    <mergeCell ref="D356:H356"/>
    <mergeCell ref="I356:J356"/>
    <mergeCell ref="A357:B357"/>
    <mergeCell ref="D357:H357"/>
    <mergeCell ref="I357:J357"/>
    <mergeCell ref="A358:B358"/>
    <mergeCell ref="D358:H358"/>
    <mergeCell ref="I358:J358"/>
    <mergeCell ref="A359:B359"/>
    <mergeCell ref="D359:H359"/>
    <mergeCell ref="I359:J359"/>
    <mergeCell ref="A360:B360"/>
    <mergeCell ref="D360:H360"/>
    <mergeCell ref="I360:J360"/>
    <mergeCell ref="A350:B350"/>
    <mergeCell ref="D350:H350"/>
    <mergeCell ref="I350:J350"/>
    <mergeCell ref="A351:B351"/>
    <mergeCell ref="D351:H351"/>
    <mergeCell ref="I351:J351"/>
    <mergeCell ref="A352:B352"/>
    <mergeCell ref="D352:H352"/>
    <mergeCell ref="I352:J352"/>
    <mergeCell ref="A353:B353"/>
    <mergeCell ref="D353:H353"/>
    <mergeCell ref="I353:J353"/>
    <mergeCell ref="A354:B354"/>
    <mergeCell ref="D354:H354"/>
    <mergeCell ref="I354:J354"/>
    <mergeCell ref="A355:B355"/>
    <mergeCell ref="D355:H355"/>
    <mergeCell ref="I355:J355"/>
    <mergeCell ref="D343:H343"/>
    <mergeCell ref="I343:J343"/>
    <mergeCell ref="A344:B344"/>
    <mergeCell ref="D344:H344"/>
    <mergeCell ref="I344:J344"/>
    <mergeCell ref="A345:B345"/>
    <mergeCell ref="D345:H345"/>
    <mergeCell ref="I345:J345"/>
    <mergeCell ref="A346:B346"/>
    <mergeCell ref="D346:H346"/>
    <mergeCell ref="I346:J346"/>
    <mergeCell ref="A347:B347"/>
    <mergeCell ref="D347:H347"/>
    <mergeCell ref="I347:J347"/>
    <mergeCell ref="A348:R348"/>
    <mergeCell ref="A349:B349"/>
    <mergeCell ref="D349:H349"/>
    <mergeCell ref="I349:J349"/>
    <mergeCell ref="D251:H251"/>
    <mergeCell ref="I251:J251"/>
    <mergeCell ref="A251:B251"/>
    <mergeCell ref="A333:B333"/>
    <mergeCell ref="D333:H333"/>
    <mergeCell ref="I333:J333"/>
    <mergeCell ref="A334:R334"/>
    <mergeCell ref="A335:B335"/>
    <mergeCell ref="D335:H335"/>
    <mergeCell ref="I335:J335"/>
    <mergeCell ref="A336:B336"/>
    <mergeCell ref="D336:H336"/>
    <mergeCell ref="I336:J336"/>
    <mergeCell ref="A337:B337"/>
    <mergeCell ref="D337:H337"/>
    <mergeCell ref="I337:J337"/>
    <mergeCell ref="A338:B338"/>
    <mergeCell ref="D338:H338"/>
    <mergeCell ref="I338:J338"/>
    <mergeCell ref="A257:B257"/>
    <mergeCell ref="D257:H257"/>
    <mergeCell ref="I257:J257"/>
    <mergeCell ref="A258:B258"/>
    <mergeCell ref="D258:H258"/>
    <mergeCell ref="I258:J258"/>
    <mergeCell ref="A259:B259"/>
    <mergeCell ref="D259:H259"/>
    <mergeCell ref="I259:J259"/>
    <mergeCell ref="A252:R252"/>
    <mergeCell ref="A253:R253"/>
    <mergeCell ref="A254:B254"/>
    <mergeCell ref="D254:H254"/>
    <mergeCell ref="A245:B245"/>
    <mergeCell ref="D245:H245"/>
    <mergeCell ref="I245:J245"/>
    <mergeCell ref="A246:B246"/>
    <mergeCell ref="D246:H246"/>
    <mergeCell ref="I246:J246"/>
    <mergeCell ref="A247:B247"/>
    <mergeCell ref="D247:H247"/>
    <mergeCell ref="I247:J247"/>
    <mergeCell ref="A248:B248"/>
    <mergeCell ref="D248:H248"/>
    <mergeCell ref="I248:J248"/>
    <mergeCell ref="A249:B249"/>
    <mergeCell ref="D249:H249"/>
    <mergeCell ref="I249:J249"/>
    <mergeCell ref="A250:B250"/>
    <mergeCell ref="D250:H250"/>
    <mergeCell ref="I250:J250"/>
    <mergeCell ref="A239:B239"/>
    <mergeCell ref="D239:H239"/>
    <mergeCell ref="I239:J239"/>
    <mergeCell ref="A240:B240"/>
    <mergeCell ref="D240:H240"/>
    <mergeCell ref="I240:J240"/>
    <mergeCell ref="A241:B241"/>
    <mergeCell ref="D241:H241"/>
    <mergeCell ref="I241:J241"/>
    <mergeCell ref="A242:B242"/>
    <mergeCell ref="D242:H242"/>
    <mergeCell ref="I242:J242"/>
    <mergeCell ref="A243:B243"/>
    <mergeCell ref="D243:H243"/>
    <mergeCell ref="I243:J243"/>
    <mergeCell ref="A244:B244"/>
    <mergeCell ref="D244:H244"/>
    <mergeCell ref="I244:J244"/>
    <mergeCell ref="A233:B233"/>
    <mergeCell ref="D233:H233"/>
    <mergeCell ref="I233:J233"/>
    <mergeCell ref="A234:B234"/>
    <mergeCell ref="D234:H234"/>
    <mergeCell ref="I234:J234"/>
    <mergeCell ref="A235:B235"/>
    <mergeCell ref="D235:H235"/>
    <mergeCell ref="I235:J235"/>
    <mergeCell ref="A236:B236"/>
    <mergeCell ref="D236:H236"/>
    <mergeCell ref="I236:J236"/>
    <mergeCell ref="A237:B237"/>
    <mergeCell ref="D237:H237"/>
    <mergeCell ref="I237:J237"/>
    <mergeCell ref="A238:B238"/>
    <mergeCell ref="D238:H238"/>
    <mergeCell ref="I238:J238"/>
    <mergeCell ref="A227:B227"/>
    <mergeCell ref="D227:H227"/>
    <mergeCell ref="I227:J227"/>
    <mergeCell ref="A228:B228"/>
    <mergeCell ref="D228:H228"/>
    <mergeCell ref="I228:J228"/>
    <mergeCell ref="A229:B229"/>
    <mergeCell ref="D229:H229"/>
    <mergeCell ref="I229:J229"/>
    <mergeCell ref="A230:B230"/>
    <mergeCell ref="D230:H230"/>
    <mergeCell ref="I230:J230"/>
    <mergeCell ref="A231:B231"/>
    <mergeCell ref="D231:H231"/>
    <mergeCell ref="I231:J231"/>
    <mergeCell ref="A232:B232"/>
    <mergeCell ref="D232:H232"/>
    <mergeCell ref="I232:J232"/>
    <mergeCell ref="A221:B221"/>
    <mergeCell ref="D221:H221"/>
    <mergeCell ref="I221:J221"/>
    <mergeCell ref="A222:B222"/>
    <mergeCell ref="D222:H222"/>
    <mergeCell ref="I222:J222"/>
    <mergeCell ref="A223:B223"/>
    <mergeCell ref="D223:H223"/>
    <mergeCell ref="I223:J223"/>
    <mergeCell ref="A224:B224"/>
    <mergeCell ref="D224:H224"/>
    <mergeCell ref="I224:J224"/>
    <mergeCell ref="A225:B225"/>
    <mergeCell ref="D225:H225"/>
    <mergeCell ref="I225:J225"/>
    <mergeCell ref="A226:B226"/>
    <mergeCell ref="D226:H226"/>
    <mergeCell ref="I226:J226"/>
    <mergeCell ref="A215:B215"/>
    <mergeCell ref="D215:H215"/>
    <mergeCell ref="I215:J215"/>
    <mergeCell ref="A216:B216"/>
    <mergeCell ref="D216:H216"/>
    <mergeCell ref="I216:J216"/>
    <mergeCell ref="A217:B217"/>
    <mergeCell ref="D217:H217"/>
    <mergeCell ref="I217:J217"/>
    <mergeCell ref="A218:B218"/>
    <mergeCell ref="D218:H218"/>
    <mergeCell ref="I218:J218"/>
    <mergeCell ref="A219:B219"/>
    <mergeCell ref="D219:H219"/>
    <mergeCell ref="I219:J219"/>
    <mergeCell ref="A220:B220"/>
    <mergeCell ref="D220:H220"/>
    <mergeCell ref="I220:J220"/>
    <mergeCell ref="A209:B209"/>
    <mergeCell ref="D209:H209"/>
    <mergeCell ref="I209:J209"/>
    <mergeCell ref="A210:B210"/>
    <mergeCell ref="D210:H210"/>
    <mergeCell ref="I210:J210"/>
    <mergeCell ref="A211:B211"/>
    <mergeCell ref="D211:H211"/>
    <mergeCell ref="I211:J211"/>
    <mergeCell ref="A212:B212"/>
    <mergeCell ref="D212:H212"/>
    <mergeCell ref="I212:J212"/>
    <mergeCell ref="A213:B213"/>
    <mergeCell ref="D213:H213"/>
    <mergeCell ref="I213:J213"/>
    <mergeCell ref="A214:B214"/>
    <mergeCell ref="D214:H214"/>
    <mergeCell ref="I214:J214"/>
    <mergeCell ref="A202:R202"/>
    <mergeCell ref="A203:B203"/>
    <mergeCell ref="D203:H203"/>
    <mergeCell ref="I203:J203"/>
    <mergeCell ref="A204:B204"/>
    <mergeCell ref="D204:H204"/>
    <mergeCell ref="I204:J204"/>
    <mergeCell ref="A205:B205"/>
    <mergeCell ref="D205:H205"/>
    <mergeCell ref="I205:J205"/>
    <mergeCell ref="A206:B206"/>
    <mergeCell ref="D206:H206"/>
    <mergeCell ref="I206:J206"/>
    <mergeCell ref="A207:B207"/>
    <mergeCell ref="D207:H207"/>
    <mergeCell ref="I207:J207"/>
    <mergeCell ref="A208:B208"/>
    <mergeCell ref="D208:H208"/>
    <mergeCell ref="I208:J208"/>
    <mergeCell ref="A201:B201"/>
    <mergeCell ref="D201:H201"/>
    <mergeCell ref="I201:J201"/>
    <mergeCell ref="A83:B83"/>
    <mergeCell ref="D83:H83"/>
    <mergeCell ref="I83:J83"/>
    <mergeCell ref="A84:B84"/>
    <mergeCell ref="D84:H84"/>
    <mergeCell ref="I84:J84"/>
    <mergeCell ref="A85:B85"/>
    <mergeCell ref="D85:H85"/>
    <mergeCell ref="I85:J85"/>
    <mergeCell ref="A95:B95"/>
    <mergeCell ref="D95:H95"/>
    <mergeCell ref="I95:J95"/>
    <mergeCell ref="A98:B98"/>
    <mergeCell ref="D98:H98"/>
    <mergeCell ref="I98:J98"/>
    <mergeCell ref="A97:B97"/>
    <mergeCell ref="D97:H97"/>
    <mergeCell ref="I97:J97"/>
    <mergeCell ref="D96:H96"/>
    <mergeCell ref="I96:J96"/>
    <mergeCell ref="A88:B88"/>
    <mergeCell ref="D88:H88"/>
    <mergeCell ref="I88:J88"/>
    <mergeCell ref="A96:B96"/>
    <mergeCell ref="A92:B92"/>
    <mergeCell ref="D92:H92"/>
    <mergeCell ref="I92:J92"/>
    <mergeCell ref="A93:B93"/>
    <mergeCell ref="D93:H93"/>
    <mergeCell ref="I79:J79"/>
    <mergeCell ref="A80:B80"/>
    <mergeCell ref="D80:H80"/>
    <mergeCell ref="I80:J80"/>
    <mergeCell ref="I94:J94"/>
    <mergeCell ref="A89:B89"/>
    <mergeCell ref="D89:H89"/>
    <mergeCell ref="I89:J89"/>
    <mergeCell ref="A90:B90"/>
    <mergeCell ref="D90:H90"/>
    <mergeCell ref="I90:J90"/>
    <mergeCell ref="A91:B91"/>
    <mergeCell ref="D91:H91"/>
    <mergeCell ref="I91:J91"/>
    <mergeCell ref="A86:B86"/>
    <mergeCell ref="D86:H86"/>
    <mergeCell ref="I86:J86"/>
    <mergeCell ref="A87:B87"/>
    <mergeCell ref="D87:H87"/>
    <mergeCell ref="I87:J87"/>
    <mergeCell ref="I93:J93"/>
    <mergeCell ref="A82:B82"/>
    <mergeCell ref="D82:H82"/>
    <mergeCell ref="I82:J82"/>
    <mergeCell ref="A81:B81"/>
    <mergeCell ref="D81:H81"/>
    <mergeCell ref="I81:J81"/>
    <mergeCell ref="I24:J24"/>
    <mergeCell ref="A25:B25"/>
    <mergeCell ref="D25:H25"/>
    <mergeCell ref="I25:J25"/>
    <mergeCell ref="A30:B30"/>
    <mergeCell ref="D30:H30"/>
    <mergeCell ref="I30:J30"/>
    <mergeCell ref="A31:B31"/>
    <mergeCell ref="D31:H31"/>
    <mergeCell ref="I31:J31"/>
    <mergeCell ref="A28:B28"/>
    <mergeCell ref="D28:H28"/>
    <mergeCell ref="I28:J28"/>
    <mergeCell ref="A29:B29"/>
    <mergeCell ref="D29:H29"/>
    <mergeCell ref="I29:J29"/>
    <mergeCell ref="A26:B26"/>
    <mergeCell ref="D26:H26"/>
    <mergeCell ref="I26:J26"/>
    <mergeCell ref="A27:B27"/>
    <mergeCell ref="D27:H27"/>
    <mergeCell ref="I27:J27"/>
    <mergeCell ref="A7:C8"/>
    <mergeCell ref="A9:E9"/>
    <mergeCell ref="F9:G9"/>
    <mergeCell ref="H9:I9"/>
    <mergeCell ref="J9:R9"/>
    <mergeCell ref="A1:R1"/>
    <mergeCell ref="A2:R2"/>
    <mergeCell ref="A3:R3"/>
    <mergeCell ref="A4:R4"/>
    <mergeCell ref="A5:R5"/>
    <mergeCell ref="A6:C6"/>
    <mergeCell ref="D6:E6"/>
    <mergeCell ref="A70:B70"/>
    <mergeCell ref="D70:H70"/>
    <mergeCell ref="I70:J70"/>
    <mergeCell ref="B13:E13"/>
    <mergeCell ref="F13:G13"/>
    <mergeCell ref="H13:I13"/>
    <mergeCell ref="A14:R14"/>
    <mergeCell ref="B12:E12"/>
    <mergeCell ref="F12:G12"/>
    <mergeCell ref="H12:I12"/>
    <mergeCell ref="A10:E10"/>
    <mergeCell ref="F10:G10"/>
    <mergeCell ref="H10:I10"/>
    <mergeCell ref="O10:P10"/>
    <mergeCell ref="Q10:R10"/>
    <mergeCell ref="B11:E11"/>
    <mergeCell ref="F11:G11"/>
    <mergeCell ref="H11:I11"/>
    <mergeCell ref="A24:B24"/>
    <mergeCell ref="D24:H24"/>
    <mergeCell ref="O11:P11"/>
    <mergeCell ref="A22:B22"/>
    <mergeCell ref="D22:H22"/>
    <mergeCell ref="I22:J22"/>
    <mergeCell ref="A23:B23"/>
    <mergeCell ref="D23:H23"/>
    <mergeCell ref="I23:J23"/>
    <mergeCell ref="A19:R19"/>
    <mergeCell ref="A20:B20"/>
    <mergeCell ref="D20:H20"/>
    <mergeCell ref="I20:J20"/>
    <mergeCell ref="A21:B21"/>
    <mergeCell ref="D21:H21"/>
    <mergeCell ref="I21:J21"/>
    <mergeCell ref="Q15:Q16"/>
    <mergeCell ref="R15:R16"/>
    <mergeCell ref="A17:B17"/>
    <mergeCell ref="D17:H17"/>
    <mergeCell ref="I17:J17"/>
    <mergeCell ref="A18:R18"/>
    <mergeCell ref="A15:B16"/>
    <mergeCell ref="C15:C16"/>
    <mergeCell ref="D15:H16"/>
    <mergeCell ref="I15:J16"/>
    <mergeCell ref="K15:M15"/>
    <mergeCell ref="N15:P15"/>
    <mergeCell ref="M11:N11"/>
    <mergeCell ref="M12:N12"/>
    <mergeCell ref="M13:N13"/>
    <mergeCell ref="O12:Q12"/>
    <mergeCell ref="O13:Q13"/>
    <mergeCell ref="A36:B36"/>
    <mergeCell ref="D36:H36"/>
    <mergeCell ref="I36:J36"/>
    <mergeCell ref="A37:B37"/>
    <mergeCell ref="D37:H37"/>
    <mergeCell ref="I37:J37"/>
    <mergeCell ref="A34:B34"/>
    <mergeCell ref="D34:H34"/>
    <mergeCell ref="I34:J34"/>
    <mergeCell ref="A35:B35"/>
    <mergeCell ref="D35:H35"/>
    <mergeCell ref="I35:J35"/>
    <mergeCell ref="A32:B32"/>
    <mergeCell ref="D32:H32"/>
    <mergeCell ref="I32:J32"/>
    <mergeCell ref="A33:B33"/>
    <mergeCell ref="D33:H33"/>
    <mergeCell ref="I33:J33"/>
    <mergeCell ref="A42:B42"/>
    <mergeCell ref="D42:H42"/>
    <mergeCell ref="I42:J42"/>
    <mergeCell ref="A43:B43"/>
    <mergeCell ref="D43:H43"/>
    <mergeCell ref="I43:J43"/>
    <mergeCell ref="A40:B40"/>
    <mergeCell ref="D40:H40"/>
    <mergeCell ref="I40:J40"/>
    <mergeCell ref="A41:B41"/>
    <mergeCell ref="D41:H41"/>
    <mergeCell ref="I41:J41"/>
    <mergeCell ref="A38:B38"/>
    <mergeCell ref="D38:H38"/>
    <mergeCell ref="I38:J38"/>
    <mergeCell ref="A39:B39"/>
    <mergeCell ref="D39:H39"/>
    <mergeCell ref="I39:J39"/>
    <mergeCell ref="A48:B48"/>
    <mergeCell ref="D48:H48"/>
    <mergeCell ref="I48:J48"/>
    <mergeCell ref="A49:B49"/>
    <mergeCell ref="D49:H49"/>
    <mergeCell ref="I49:J49"/>
    <mergeCell ref="A46:B46"/>
    <mergeCell ref="D46:H46"/>
    <mergeCell ref="I46:J46"/>
    <mergeCell ref="A47:B47"/>
    <mergeCell ref="D47:H47"/>
    <mergeCell ref="I47:J47"/>
    <mergeCell ref="A44:B44"/>
    <mergeCell ref="D44:H44"/>
    <mergeCell ref="I44:J44"/>
    <mergeCell ref="A45:B45"/>
    <mergeCell ref="D45:H45"/>
    <mergeCell ref="I45:J45"/>
    <mergeCell ref="A54:B54"/>
    <mergeCell ref="D54:H54"/>
    <mergeCell ref="I54:J54"/>
    <mergeCell ref="A55:B55"/>
    <mergeCell ref="D55:H55"/>
    <mergeCell ref="I55:J55"/>
    <mergeCell ref="A57:R57"/>
    <mergeCell ref="A56:B56"/>
    <mergeCell ref="D56:H56"/>
    <mergeCell ref="I56:J56"/>
    <mergeCell ref="A52:B52"/>
    <mergeCell ref="D52:H52"/>
    <mergeCell ref="I52:J52"/>
    <mergeCell ref="A53:B53"/>
    <mergeCell ref="D53:H53"/>
    <mergeCell ref="I53:J53"/>
    <mergeCell ref="A50:B50"/>
    <mergeCell ref="D50:H50"/>
    <mergeCell ref="I50:J50"/>
    <mergeCell ref="A51:B51"/>
    <mergeCell ref="D51:H51"/>
    <mergeCell ref="I51:J51"/>
    <mergeCell ref="D60:H60"/>
    <mergeCell ref="I60:J60"/>
    <mergeCell ref="A61:B61"/>
    <mergeCell ref="D61:H61"/>
    <mergeCell ref="I61:J61"/>
    <mergeCell ref="A71:B71"/>
    <mergeCell ref="D71:H71"/>
    <mergeCell ref="I71:J71"/>
    <mergeCell ref="A58:B58"/>
    <mergeCell ref="D58:H58"/>
    <mergeCell ref="I58:J58"/>
    <mergeCell ref="A59:B59"/>
    <mergeCell ref="D59:H59"/>
    <mergeCell ref="I59:J59"/>
    <mergeCell ref="A62:B62"/>
    <mergeCell ref="D62:H62"/>
    <mergeCell ref="I62:J62"/>
    <mergeCell ref="A63:B63"/>
    <mergeCell ref="D63:H63"/>
    <mergeCell ref="I63:J63"/>
    <mergeCell ref="A60:B60"/>
    <mergeCell ref="A68:B68"/>
    <mergeCell ref="D68:H68"/>
    <mergeCell ref="I68:J68"/>
    <mergeCell ref="A69:B69"/>
    <mergeCell ref="D69:H69"/>
    <mergeCell ref="I69:J69"/>
    <mergeCell ref="A66:B66"/>
    <mergeCell ref="D66:H66"/>
    <mergeCell ref="I66:J66"/>
    <mergeCell ref="A67:B67"/>
    <mergeCell ref="D67:H67"/>
    <mergeCell ref="I67:J67"/>
    <mergeCell ref="D75:H75"/>
    <mergeCell ref="I75:J75"/>
    <mergeCell ref="A64:B64"/>
    <mergeCell ref="D64:H64"/>
    <mergeCell ref="I64:J64"/>
    <mergeCell ref="A65:B65"/>
    <mergeCell ref="D65:H65"/>
    <mergeCell ref="I65:J65"/>
    <mergeCell ref="A94:B94"/>
    <mergeCell ref="D94:H94"/>
    <mergeCell ref="I101:J101"/>
    <mergeCell ref="A99:B99"/>
    <mergeCell ref="D99:H99"/>
    <mergeCell ref="I99:J99"/>
    <mergeCell ref="A100:B100"/>
    <mergeCell ref="D100:H100"/>
    <mergeCell ref="I100:J100"/>
    <mergeCell ref="A101:B101"/>
    <mergeCell ref="D101:H101"/>
    <mergeCell ref="A72:B72"/>
    <mergeCell ref="D72:H72"/>
    <mergeCell ref="I72:J72"/>
    <mergeCell ref="A73:B73"/>
    <mergeCell ref="D73:H73"/>
    <mergeCell ref="I73:J73"/>
    <mergeCell ref="A74:B74"/>
    <mergeCell ref="D74:H74"/>
    <mergeCell ref="I74:J74"/>
    <mergeCell ref="A75:B75"/>
    <mergeCell ref="A76:B76"/>
    <mergeCell ref="D76:H76"/>
    <mergeCell ref="I76:J76"/>
    <mergeCell ref="A77:B77"/>
    <mergeCell ref="D77:H77"/>
    <mergeCell ref="I77:J77"/>
    <mergeCell ref="A78:B78"/>
    <mergeCell ref="D78:H78"/>
    <mergeCell ref="I78:J78"/>
    <mergeCell ref="A79:B79"/>
    <mergeCell ref="D79:H79"/>
    <mergeCell ref="A114:B114"/>
    <mergeCell ref="D114:H114"/>
    <mergeCell ref="I114:J114"/>
    <mergeCell ref="A105:B105"/>
    <mergeCell ref="D105:H105"/>
    <mergeCell ref="I105:J105"/>
    <mergeCell ref="A106:B106"/>
    <mergeCell ref="D106:H106"/>
    <mergeCell ref="I106:J106"/>
    <mergeCell ref="A107:B107"/>
    <mergeCell ref="D107:H107"/>
    <mergeCell ref="I107:J107"/>
    <mergeCell ref="A102:B102"/>
    <mergeCell ref="D102:H102"/>
    <mergeCell ref="I102:J102"/>
    <mergeCell ref="A103:B103"/>
    <mergeCell ref="D103:H103"/>
    <mergeCell ref="I103:J103"/>
    <mergeCell ref="A104:B104"/>
    <mergeCell ref="D104:H104"/>
    <mergeCell ref="I104:J104"/>
    <mergeCell ref="I109:J109"/>
    <mergeCell ref="A110:B110"/>
    <mergeCell ref="D110:H110"/>
    <mergeCell ref="I110:J110"/>
    <mergeCell ref="A111:B111"/>
    <mergeCell ref="D111:H111"/>
    <mergeCell ref="I111:J111"/>
    <mergeCell ref="A112:B112"/>
    <mergeCell ref="D112:H112"/>
    <mergeCell ref="I112:J112"/>
    <mergeCell ref="A144:B144"/>
    <mergeCell ref="D144:H144"/>
    <mergeCell ref="I144:J144"/>
    <mergeCell ref="A145:B145"/>
    <mergeCell ref="D145:H145"/>
    <mergeCell ref="I145:J145"/>
    <mergeCell ref="A146:B146"/>
    <mergeCell ref="D146:H146"/>
    <mergeCell ref="I146:J146"/>
    <mergeCell ref="A141:B141"/>
    <mergeCell ref="D141:H141"/>
    <mergeCell ref="I141:J141"/>
    <mergeCell ref="A142:B142"/>
    <mergeCell ref="D142:H142"/>
    <mergeCell ref="I142:J142"/>
    <mergeCell ref="A143:B143"/>
    <mergeCell ref="D143:H143"/>
    <mergeCell ref="I143:J143"/>
    <mergeCell ref="A115:B115"/>
    <mergeCell ref="D115:H115"/>
    <mergeCell ref="I115:J115"/>
    <mergeCell ref="A116:B116"/>
    <mergeCell ref="D116:H116"/>
    <mergeCell ref="I116:J116"/>
    <mergeCell ref="A150:B150"/>
    <mergeCell ref="D150:H150"/>
    <mergeCell ref="I150:J150"/>
    <mergeCell ref="A151:B151"/>
    <mergeCell ref="D151:H151"/>
    <mergeCell ref="I151:J151"/>
    <mergeCell ref="A152:B152"/>
    <mergeCell ref="D152:H152"/>
    <mergeCell ref="I152:J152"/>
    <mergeCell ref="A147:B147"/>
    <mergeCell ref="D147:H147"/>
    <mergeCell ref="I147:J147"/>
    <mergeCell ref="A148:B148"/>
    <mergeCell ref="D148:H148"/>
    <mergeCell ref="I148:J148"/>
    <mergeCell ref="A149:B149"/>
    <mergeCell ref="D149:H149"/>
    <mergeCell ref="I149:J149"/>
    <mergeCell ref="A156:B156"/>
    <mergeCell ref="D156:H156"/>
    <mergeCell ref="I156:J156"/>
    <mergeCell ref="A157:B157"/>
    <mergeCell ref="D157:H157"/>
    <mergeCell ref="I157:J157"/>
    <mergeCell ref="A158:B158"/>
    <mergeCell ref="D158:H158"/>
    <mergeCell ref="I158:J158"/>
    <mergeCell ref="A153:B153"/>
    <mergeCell ref="D153:H153"/>
    <mergeCell ref="I153:J153"/>
    <mergeCell ref="A154:B154"/>
    <mergeCell ref="D154:H154"/>
    <mergeCell ref="I154:J154"/>
    <mergeCell ref="A155:B155"/>
    <mergeCell ref="D155:H155"/>
    <mergeCell ref="I155:J155"/>
    <mergeCell ref="A162:B162"/>
    <mergeCell ref="D162:H162"/>
    <mergeCell ref="I162:J162"/>
    <mergeCell ref="A163:B163"/>
    <mergeCell ref="D163:H163"/>
    <mergeCell ref="I163:J163"/>
    <mergeCell ref="A164:B164"/>
    <mergeCell ref="D164:H164"/>
    <mergeCell ref="I164:J164"/>
    <mergeCell ref="A159:B159"/>
    <mergeCell ref="D159:H159"/>
    <mergeCell ref="I159:J159"/>
    <mergeCell ref="A160:B160"/>
    <mergeCell ref="D160:H160"/>
    <mergeCell ref="I160:J160"/>
    <mergeCell ref="A161:B161"/>
    <mergeCell ref="D161:H161"/>
    <mergeCell ref="I161:J161"/>
    <mergeCell ref="A168:B168"/>
    <mergeCell ref="D168:H168"/>
    <mergeCell ref="I168:J168"/>
    <mergeCell ref="A169:B169"/>
    <mergeCell ref="D169:H169"/>
    <mergeCell ref="I169:J169"/>
    <mergeCell ref="A170:B170"/>
    <mergeCell ref="D170:H170"/>
    <mergeCell ref="I170:J170"/>
    <mergeCell ref="A165:B165"/>
    <mergeCell ref="D165:H165"/>
    <mergeCell ref="I165:J165"/>
    <mergeCell ref="A166:B166"/>
    <mergeCell ref="D166:H166"/>
    <mergeCell ref="I166:J166"/>
    <mergeCell ref="A167:B167"/>
    <mergeCell ref="D167:H167"/>
    <mergeCell ref="I167:J167"/>
    <mergeCell ref="A174:B174"/>
    <mergeCell ref="D174:H174"/>
    <mergeCell ref="I174:J174"/>
    <mergeCell ref="A175:B175"/>
    <mergeCell ref="D175:H175"/>
    <mergeCell ref="I175:J175"/>
    <mergeCell ref="A176:B176"/>
    <mergeCell ref="D176:H176"/>
    <mergeCell ref="I176:J176"/>
    <mergeCell ref="A171:B171"/>
    <mergeCell ref="D171:H171"/>
    <mergeCell ref="I171:J171"/>
    <mergeCell ref="A172:B172"/>
    <mergeCell ref="D172:H172"/>
    <mergeCell ref="I172:J172"/>
    <mergeCell ref="A173:B173"/>
    <mergeCell ref="D173:H173"/>
    <mergeCell ref="I173:J173"/>
    <mergeCell ref="A192:B192"/>
    <mergeCell ref="D192:H192"/>
    <mergeCell ref="I192:J192"/>
    <mergeCell ref="A193:B193"/>
    <mergeCell ref="D193:H193"/>
    <mergeCell ref="I193:J193"/>
    <mergeCell ref="A194:B194"/>
    <mergeCell ref="D194:H194"/>
    <mergeCell ref="I194:J194"/>
    <mergeCell ref="A189:B189"/>
    <mergeCell ref="D189:H189"/>
    <mergeCell ref="I189:J189"/>
    <mergeCell ref="A190:B190"/>
    <mergeCell ref="D190:H190"/>
    <mergeCell ref="I190:J190"/>
    <mergeCell ref="A191:B191"/>
    <mergeCell ref="D191:H191"/>
    <mergeCell ref="I191:J191"/>
    <mergeCell ref="A195:B195"/>
    <mergeCell ref="D195:H195"/>
    <mergeCell ref="I195:J195"/>
    <mergeCell ref="A196:B196"/>
    <mergeCell ref="D196:H196"/>
    <mergeCell ref="I196:J196"/>
    <mergeCell ref="A200:B200"/>
    <mergeCell ref="D200:H200"/>
    <mergeCell ref="I200:J200"/>
    <mergeCell ref="A197:B197"/>
    <mergeCell ref="D197:H197"/>
    <mergeCell ref="I197:J197"/>
    <mergeCell ref="A198:B198"/>
    <mergeCell ref="D198:H198"/>
    <mergeCell ref="I198:J198"/>
    <mergeCell ref="A199:B199"/>
    <mergeCell ref="D199:H199"/>
    <mergeCell ref="I199:J199"/>
    <mergeCell ref="I254:J254"/>
    <mergeCell ref="A255:B255"/>
    <mergeCell ref="D255:H255"/>
    <mergeCell ref="I255:J255"/>
    <mergeCell ref="A256:B256"/>
    <mergeCell ref="D256:H256"/>
    <mergeCell ref="I256:J256"/>
    <mergeCell ref="A263:B263"/>
    <mergeCell ref="D263:H263"/>
    <mergeCell ref="I263:J263"/>
    <mergeCell ref="A264:B264"/>
    <mergeCell ref="D264:H264"/>
    <mergeCell ref="I264:J264"/>
    <mergeCell ref="A265:B265"/>
    <mergeCell ref="D265:H265"/>
    <mergeCell ref="I265:J265"/>
    <mergeCell ref="A260:B260"/>
    <mergeCell ref="D260:H260"/>
    <mergeCell ref="I260:J260"/>
    <mergeCell ref="A261:B261"/>
    <mergeCell ref="D261:H261"/>
    <mergeCell ref="I261:J261"/>
    <mergeCell ref="A262:B262"/>
    <mergeCell ref="D262:H262"/>
    <mergeCell ref="I262:J262"/>
    <mergeCell ref="A269:B269"/>
    <mergeCell ref="D269:H269"/>
    <mergeCell ref="I269:J269"/>
    <mergeCell ref="A270:B270"/>
    <mergeCell ref="D270:H270"/>
    <mergeCell ref="I270:J270"/>
    <mergeCell ref="A271:B271"/>
    <mergeCell ref="D271:H271"/>
    <mergeCell ref="I271:J271"/>
    <mergeCell ref="A266:B266"/>
    <mergeCell ref="D266:H266"/>
    <mergeCell ref="I266:J266"/>
    <mergeCell ref="A267:B267"/>
    <mergeCell ref="D267:H267"/>
    <mergeCell ref="I267:J267"/>
    <mergeCell ref="A268:B268"/>
    <mergeCell ref="D268:H268"/>
    <mergeCell ref="I268:J268"/>
    <mergeCell ref="A275:B275"/>
    <mergeCell ref="D275:H275"/>
    <mergeCell ref="I275:J275"/>
    <mergeCell ref="A276:B276"/>
    <mergeCell ref="D276:H276"/>
    <mergeCell ref="I276:J276"/>
    <mergeCell ref="A277:B277"/>
    <mergeCell ref="D277:H277"/>
    <mergeCell ref="I277:J277"/>
    <mergeCell ref="A272:B272"/>
    <mergeCell ref="D272:H272"/>
    <mergeCell ref="I272:J272"/>
    <mergeCell ref="A273:B273"/>
    <mergeCell ref="D273:H273"/>
    <mergeCell ref="I273:J273"/>
    <mergeCell ref="A274:B274"/>
    <mergeCell ref="D274:H274"/>
    <mergeCell ref="I274:J274"/>
    <mergeCell ref="D281:H281"/>
    <mergeCell ref="I281:J281"/>
    <mergeCell ref="A282:B282"/>
    <mergeCell ref="D282:H282"/>
    <mergeCell ref="I282:J282"/>
    <mergeCell ref="A283:B283"/>
    <mergeCell ref="D283:H283"/>
    <mergeCell ref="I283:J283"/>
    <mergeCell ref="A278:B278"/>
    <mergeCell ref="D278:H278"/>
    <mergeCell ref="I278:J278"/>
    <mergeCell ref="A279:B279"/>
    <mergeCell ref="D279:H279"/>
    <mergeCell ref="I279:J279"/>
    <mergeCell ref="A280:B280"/>
    <mergeCell ref="D280:H280"/>
    <mergeCell ref="I280:J280"/>
    <mergeCell ref="A295:B295"/>
    <mergeCell ref="D295:H295"/>
    <mergeCell ref="I295:J295"/>
    <mergeCell ref="A296:B296"/>
    <mergeCell ref="D296:H296"/>
    <mergeCell ref="I296:J296"/>
    <mergeCell ref="A297:B297"/>
    <mergeCell ref="D297:H297"/>
    <mergeCell ref="I297:J297"/>
    <mergeCell ref="A287:B287"/>
    <mergeCell ref="D287:H287"/>
    <mergeCell ref="I287:J287"/>
    <mergeCell ref="A288:B288"/>
    <mergeCell ref="D288:H288"/>
    <mergeCell ref="I288:J288"/>
    <mergeCell ref="A294:B294"/>
    <mergeCell ref="D294:H294"/>
    <mergeCell ref="I294:J294"/>
    <mergeCell ref="A289:B289"/>
    <mergeCell ref="D289:H289"/>
    <mergeCell ref="I289:J289"/>
    <mergeCell ref="A290:B290"/>
    <mergeCell ref="A291:B291"/>
    <mergeCell ref="A292:B292"/>
    <mergeCell ref="D290:H290"/>
    <mergeCell ref="D291:H291"/>
    <mergeCell ref="D292:H292"/>
    <mergeCell ref="I290:J290"/>
    <mergeCell ref="I291:J291"/>
    <mergeCell ref="I292:J292"/>
    <mergeCell ref="A293:B293"/>
    <mergeCell ref="D293:H293"/>
    <mergeCell ref="A301:B301"/>
    <mergeCell ref="D301:H301"/>
    <mergeCell ref="I301:J301"/>
    <mergeCell ref="A302:B302"/>
    <mergeCell ref="D302:H302"/>
    <mergeCell ref="I302:J302"/>
    <mergeCell ref="A303:B303"/>
    <mergeCell ref="D303:H303"/>
    <mergeCell ref="I303:J303"/>
    <mergeCell ref="A298:B298"/>
    <mergeCell ref="D298:H298"/>
    <mergeCell ref="I298:J298"/>
    <mergeCell ref="A299:B299"/>
    <mergeCell ref="D299:H299"/>
    <mergeCell ref="I299:J299"/>
    <mergeCell ref="A300:B300"/>
    <mergeCell ref="D300:H300"/>
    <mergeCell ref="I300:J300"/>
    <mergeCell ref="A308:B308"/>
    <mergeCell ref="D308:H308"/>
    <mergeCell ref="I308:J308"/>
    <mergeCell ref="A309:B309"/>
    <mergeCell ref="D309:H309"/>
    <mergeCell ref="I309:J309"/>
    <mergeCell ref="A310:B310"/>
    <mergeCell ref="D310:H310"/>
    <mergeCell ref="I310:J310"/>
    <mergeCell ref="A304:B304"/>
    <mergeCell ref="D304:H304"/>
    <mergeCell ref="I304:J304"/>
    <mergeCell ref="A305:B305"/>
    <mergeCell ref="D305:H305"/>
    <mergeCell ref="I305:J305"/>
    <mergeCell ref="A307:B307"/>
    <mergeCell ref="D307:H307"/>
    <mergeCell ref="I307:J307"/>
    <mergeCell ref="A306:B306"/>
    <mergeCell ref="D306:H306"/>
    <mergeCell ref="I306:J306"/>
    <mergeCell ref="A314:B314"/>
    <mergeCell ref="D314:H314"/>
    <mergeCell ref="I314:J314"/>
    <mergeCell ref="A315:B315"/>
    <mergeCell ref="D315:H315"/>
    <mergeCell ref="I315:J315"/>
    <mergeCell ref="A316:B316"/>
    <mergeCell ref="D316:H316"/>
    <mergeCell ref="I316:J316"/>
    <mergeCell ref="A311:B311"/>
    <mergeCell ref="D311:H311"/>
    <mergeCell ref="I311:J311"/>
    <mergeCell ref="A312:B312"/>
    <mergeCell ref="D312:H312"/>
    <mergeCell ref="I312:J312"/>
    <mergeCell ref="A313:B313"/>
    <mergeCell ref="D313:H313"/>
    <mergeCell ref="I313:J313"/>
    <mergeCell ref="A322:B322"/>
    <mergeCell ref="D322:H322"/>
    <mergeCell ref="I322:J322"/>
    <mergeCell ref="A323:B323"/>
    <mergeCell ref="D323:H323"/>
    <mergeCell ref="I323:J323"/>
    <mergeCell ref="A324:B324"/>
    <mergeCell ref="D324:H324"/>
    <mergeCell ref="I324:J324"/>
    <mergeCell ref="A320:B320"/>
    <mergeCell ref="D320:H320"/>
    <mergeCell ref="I320:J320"/>
    <mergeCell ref="A321:B321"/>
    <mergeCell ref="D321:H321"/>
    <mergeCell ref="I321:J321"/>
    <mergeCell ref="A317:B317"/>
    <mergeCell ref="D317:H317"/>
    <mergeCell ref="I317:J317"/>
    <mergeCell ref="A318:B318"/>
    <mergeCell ref="D318:H318"/>
    <mergeCell ref="I318:J318"/>
    <mergeCell ref="A319:B319"/>
    <mergeCell ref="D319:H319"/>
    <mergeCell ref="I319:J319"/>
    <mergeCell ref="A328:B328"/>
    <mergeCell ref="D328:H328"/>
    <mergeCell ref="I328:J328"/>
    <mergeCell ref="A329:B329"/>
    <mergeCell ref="D329:H329"/>
    <mergeCell ref="I329:J329"/>
    <mergeCell ref="A330:B330"/>
    <mergeCell ref="D330:H330"/>
    <mergeCell ref="I330:J330"/>
    <mergeCell ref="A325:B325"/>
    <mergeCell ref="D325:H325"/>
    <mergeCell ref="I325:J325"/>
    <mergeCell ref="A326:B326"/>
    <mergeCell ref="D326:H326"/>
    <mergeCell ref="I326:J326"/>
    <mergeCell ref="A327:B327"/>
    <mergeCell ref="D327:H327"/>
    <mergeCell ref="I327:J327"/>
    <mergeCell ref="A398:B398"/>
    <mergeCell ref="D398:H398"/>
    <mergeCell ref="I398:J398"/>
    <mergeCell ref="A399:B399"/>
    <mergeCell ref="D399:H399"/>
    <mergeCell ref="I399:J399"/>
    <mergeCell ref="A400:B400"/>
    <mergeCell ref="D400:H400"/>
    <mergeCell ref="I400:J400"/>
    <mergeCell ref="A401:B401"/>
    <mergeCell ref="D401:H401"/>
    <mergeCell ref="I401:J401"/>
    <mergeCell ref="A402:B402"/>
    <mergeCell ref="A331:B331"/>
    <mergeCell ref="D331:H331"/>
    <mergeCell ref="I331:J331"/>
    <mergeCell ref="A332:B332"/>
    <mergeCell ref="D332:H332"/>
    <mergeCell ref="I332:J332"/>
    <mergeCell ref="A339:B339"/>
    <mergeCell ref="D339:H339"/>
    <mergeCell ref="I339:J339"/>
    <mergeCell ref="A340:B340"/>
    <mergeCell ref="D340:H340"/>
    <mergeCell ref="I340:J340"/>
    <mergeCell ref="A341:B341"/>
    <mergeCell ref="D341:H341"/>
    <mergeCell ref="I341:J341"/>
    <mergeCell ref="A342:B342"/>
    <mergeCell ref="D342:H342"/>
    <mergeCell ref="I342:J342"/>
    <mergeCell ref="A343:B343"/>
    <mergeCell ref="D402:H402"/>
    <mergeCell ref="I402:J402"/>
    <mergeCell ref="A403:B403"/>
    <mergeCell ref="D403:H403"/>
    <mergeCell ref="A409:B409"/>
    <mergeCell ref="D409:H409"/>
    <mergeCell ref="I409:J409"/>
    <mergeCell ref="I403:J403"/>
    <mergeCell ref="A408:B408"/>
    <mergeCell ref="D408:H408"/>
    <mergeCell ref="I408:J408"/>
    <mergeCell ref="A404:B404"/>
    <mergeCell ref="D404:H404"/>
    <mergeCell ref="I404:J404"/>
    <mergeCell ref="A405:B405"/>
    <mergeCell ref="D405:H405"/>
    <mergeCell ref="I405:J405"/>
    <mergeCell ref="A406:B406"/>
    <mergeCell ref="D406:H406"/>
    <mergeCell ref="I406:J406"/>
    <mergeCell ref="A407:B407"/>
    <mergeCell ref="D407:H407"/>
    <mergeCell ref="I407:J407"/>
    <mergeCell ref="A437:B437"/>
    <mergeCell ref="D437:H437"/>
    <mergeCell ref="I437:J437"/>
    <mergeCell ref="D447:H447"/>
    <mergeCell ref="I447:J447"/>
    <mergeCell ref="A438:B438"/>
    <mergeCell ref="D438:H438"/>
    <mergeCell ref="I438:J438"/>
    <mergeCell ref="A439:B439"/>
    <mergeCell ref="D439:H439"/>
    <mergeCell ref="I439:J439"/>
    <mergeCell ref="A440:B440"/>
    <mergeCell ref="D440:H440"/>
    <mergeCell ref="I440:J440"/>
    <mergeCell ref="A441:B441"/>
    <mergeCell ref="D441:H441"/>
    <mergeCell ref="I441:J441"/>
    <mergeCell ref="A442:B442"/>
    <mergeCell ref="D442:H442"/>
    <mergeCell ref="I442:J442"/>
    <mergeCell ref="A443:B443"/>
    <mergeCell ref="A444:B444"/>
    <mergeCell ref="D444:H444"/>
    <mergeCell ref="I444:J444"/>
    <mergeCell ref="A445:B445"/>
    <mergeCell ref="D445:H445"/>
    <mergeCell ref="I445:J445"/>
    <mergeCell ref="A446:B446"/>
    <mergeCell ref="D446:H446"/>
    <mergeCell ref="I446:J446"/>
    <mergeCell ref="A448:B448"/>
    <mergeCell ref="D448:H448"/>
    <mergeCell ref="I448:J448"/>
    <mergeCell ref="A449:B449"/>
    <mergeCell ref="D449:H449"/>
    <mergeCell ref="I449:J449"/>
    <mergeCell ref="A450:B450"/>
    <mergeCell ref="D450:H450"/>
    <mergeCell ref="A657:B657"/>
    <mergeCell ref="D645:G645"/>
    <mergeCell ref="H645:I645"/>
    <mergeCell ref="A658:B658"/>
    <mergeCell ref="D646:G646"/>
    <mergeCell ref="H646:I646"/>
    <mergeCell ref="A659:B659"/>
    <mergeCell ref="D647:G647"/>
    <mergeCell ref="H647:I647"/>
    <mergeCell ref="A463:R463"/>
    <mergeCell ref="A457:B457"/>
    <mergeCell ref="D457:H457"/>
    <mergeCell ref="I457:J457"/>
    <mergeCell ref="A458:B458"/>
    <mergeCell ref="D458:H458"/>
    <mergeCell ref="I458:J458"/>
    <mergeCell ref="A459:B459"/>
    <mergeCell ref="D459:H459"/>
    <mergeCell ref="I459:J459"/>
    <mergeCell ref="A461:B461"/>
    <mergeCell ref="D461:H461"/>
    <mergeCell ref="I461:J461"/>
    <mergeCell ref="A460:B460"/>
    <mergeCell ref="D460:H460"/>
    <mergeCell ref="I460:J460"/>
    <mergeCell ref="D473:H473"/>
    <mergeCell ref="I473:J473"/>
    <mergeCell ref="A474:B474"/>
    <mergeCell ref="D474:H474"/>
    <mergeCell ref="I474:J474"/>
    <mergeCell ref="I475:J475"/>
    <mergeCell ref="A465:B465"/>
    <mergeCell ref="A113:B113"/>
    <mergeCell ref="D113:H113"/>
    <mergeCell ref="I113:J113"/>
    <mergeCell ref="A108:B108"/>
    <mergeCell ref="D108:H108"/>
    <mergeCell ref="I108:J108"/>
    <mergeCell ref="A109:B109"/>
    <mergeCell ref="D109:H109"/>
    <mergeCell ref="A451:B451"/>
    <mergeCell ref="D451:H451"/>
    <mergeCell ref="I451:J451"/>
    <mergeCell ref="I450:J450"/>
    <mergeCell ref="A447:B447"/>
    <mergeCell ref="D443:H443"/>
    <mergeCell ref="I443:J443"/>
    <mergeCell ref="I430:J430"/>
    <mergeCell ref="A431:B431"/>
    <mergeCell ref="D431:H431"/>
    <mergeCell ref="I431:J431"/>
    <mergeCell ref="A434:B434"/>
    <mergeCell ref="D434:H434"/>
    <mergeCell ref="I434:J434"/>
    <mergeCell ref="A435:R435"/>
    <mergeCell ref="A436:B436"/>
    <mergeCell ref="D436:H436"/>
    <mergeCell ref="I436:J436"/>
    <mergeCell ref="A117:B117"/>
    <mergeCell ref="D117:H117"/>
    <mergeCell ref="I117:J117"/>
    <mergeCell ref="A118:B118"/>
    <mergeCell ref="D118:H118"/>
    <mergeCell ref="I118:J118"/>
    <mergeCell ref="A119:B119"/>
    <mergeCell ref="D119:H119"/>
    <mergeCell ref="I119:J119"/>
    <mergeCell ref="A120:B120"/>
    <mergeCell ref="D120:H120"/>
    <mergeCell ref="I120:J120"/>
    <mergeCell ref="A121:B121"/>
    <mergeCell ref="D121:H121"/>
    <mergeCell ref="I121:J121"/>
    <mergeCell ref="A122:B122"/>
    <mergeCell ref="D122:H122"/>
    <mergeCell ref="I122:J122"/>
    <mergeCell ref="A123:B123"/>
    <mergeCell ref="D123:H123"/>
    <mergeCell ref="I123:J123"/>
    <mergeCell ref="A124:B124"/>
    <mergeCell ref="D124:H124"/>
    <mergeCell ref="I124:J124"/>
    <mergeCell ref="A125:B125"/>
    <mergeCell ref="D125:H125"/>
    <mergeCell ref="I125:J125"/>
    <mergeCell ref="A127:B127"/>
    <mergeCell ref="D127:H127"/>
    <mergeCell ref="I127:J127"/>
    <mergeCell ref="A126:B126"/>
    <mergeCell ref="D126:H126"/>
    <mergeCell ref="I126:J126"/>
    <mergeCell ref="A128:B128"/>
    <mergeCell ref="D128:H128"/>
    <mergeCell ref="I128:J128"/>
    <mergeCell ref="A129:B129"/>
    <mergeCell ref="D129:H129"/>
    <mergeCell ref="I129:J129"/>
    <mergeCell ref="A130:B130"/>
    <mergeCell ref="D130:H130"/>
    <mergeCell ref="I130:J130"/>
    <mergeCell ref="A131:B131"/>
    <mergeCell ref="D131:H131"/>
    <mergeCell ref="I131:J131"/>
    <mergeCell ref="A132:B132"/>
    <mergeCell ref="D132:H132"/>
    <mergeCell ref="I132:J132"/>
    <mergeCell ref="A133:B133"/>
    <mergeCell ref="D133:H133"/>
    <mergeCell ref="I133:J133"/>
    <mergeCell ref="I293:J293"/>
    <mergeCell ref="A140:B140"/>
    <mergeCell ref="D140:H140"/>
    <mergeCell ref="I140:J140"/>
    <mergeCell ref="A134:B134"/>
    <mergeCell ref="D134:H134"/>
    <mergeCell ref="I134:J134"/>
    <mergeCell ref="A135:B135"/>
    <mergeCell ref="D135:H135"/>
    <mergeCell ref="I135:J135"/>
    <mergeCell ref="A136:B136"/>
    <mergeCell ref="D136:H136"/>
    <mergeCell ref="I136:J136"/>
    <mergeCell ref="A137:B137"/>
    <mergeCell ref="D137:H137"/>
    <mergeCell ref="I137:J137"/>
    <mergeCell ref="A138:B138"/>
    <mergeCell ref="D138:H138"/>
    <mergeCell ref="I138:J138"/>
    <mergeCell ref="A139:B139"/>
    <mergeCell ref="D139:H139"/>
    <mergeCell ref="I139:J139"/>
    <mergeCell ref="A284:B284"/>
    <mergeCell ref="D284:H284"/>
    <mergeCell ref="I284:J284"/>
    <mergeCell ref="A285:B285"/>
    <mergeCell ref="D285:H285"/>
    <mergeCell ref="I285:J285"/>
    <mergeCell ref="A286:B286"/>
    <mergeCell ref="D286:H286"/>
    <mergeCell ref="I286:J286"/>
    <mergeCell ref="A281:B281"/>
    <mergeCell ref="I481:J481"/>
    <mergeCell ref="A482:B482"/>
    <mergeCell ref="D482:H482"/>
    <mergeCell ref="I482:J482"/>
    <mergeCell ref="A462:B462"/>
    <mergeCell ref="D462:H462"/>
    <mergeCell ref="I462:J462"/>
    <mergeCell ref="I470:J470"/>
    <mergeCell ref="A452:B452"/>
    <mergeCell ref="D452:H452"/>
    <mergeCell ref="I452:J452"/>
    <mergeCell ref="A453:B453"/>
    <mergeCell ref="D453:H453"/>
    <mergeCell ref="I453:J453"/>
    <mergeCell ref="A454:B454"/>
    <mergeCell ref="D454:H454"/>
    <mergeCell ref="I454:J454"/>
    <mergeCell ref="A455:B455"/>
    <mergeCell ref="D455:H455"/>
    <mergeCell ref="I455:J455"/>
    <mergeCell ref="A456:B456"/>
    <mergeCell ref="D456:H456"/>
    <mergeCell ref="I456:J456"/>
    <mergeCell ref="A483:B483"/>
    <mergeCell ref="D483:H483"/>
    <mergeCell ref="I483:J483"/>
    <mergeCell ref="A484:B484"/>
    <mergeCell ref="D484:H484"/>
    <mergeCell ref="I484:J484"/>
    <mergeCell ref="A485:B485"/>
    <mergeCell ref="D485:H485"/>
    <mergeCell ref="I485:J485"/>
    <mergeCell ref="A486:B486"/>
    <mergeCell ref="D486:H486"/>
    <mergeCell ref="I486:J486"/>
    <mergeCell ref="A487:B487"/>
    <mergeCell ref="D487:H487"/>
    <mergeCell ref="I487:J487"/>
    <mergeCell ref="A488:B488"/>
    <mergeCell ref="D488:H488"/>
    <mergeCell ref="I488:J488"/>
    <mergeCell ref="A501:B501"/>
    <mergeCell ref="D501:H501"/>
    <mergeCell ref="I501:J501"/>
    <mergeCell ref="A502:B502"/>
    <mergeCell ref="D502:H502"/>
    <mergeCell ref="I502:J502"/>
    <mergeCell ref="A503:B503"/>
    <mergeCell ref="D503:H503"/>
    <mergeCell ref="I503:J503"/>
    <mergeCell ref="A504:B504"/>
    <mergeCell ref="D504:H504"/>
    <mergeCell ref="I504:J504"/>
    <mergeCell ref="A499:B499"/>
    <mergeCell ref="D499:H499"/>
    <mergeCell ref="I499:J499"/>
    <mergeCell ref="A492:B492"/>
    <mergeCell ref="D492:H492"/>
    <mergeCell ref="I492:J492"/>
    <mergeCell ref="A493:B493"/>
    <mergeCell ref="D493:H493"/>
    <mergeCell ref="I493:J493"/>
    <mergeCell ref="A511:B511"/>
    <mergeCell ref="D511:H511"/>
    <mergeCell ref="I511:J511"/>
    <mergeCell ref="A512:B512"/>
    <mergeCell ref="D512:H512"/>
    <mergeCell ref="I512:J512"/>
    <mergeCell ref="A505:B505"/>
    <mergeCell ref="D505:H505"/>
    <mergeCell ref="I505:J505"/>
    <mergeCell ref="A506:B506"/>
    <mergeCell ref="D506:H506"/>
    <mergeCell ref="I506:J506"/>
    <mergeCell ref="A507:B507"/>
    <mergeCell ref="D507:H507"/>
    <mergeCell ref="I507:J507"/>
    <mergeCell ref="A508:B508"/>
    <mergeCell ref="D508:H508"/>
    <mergeCell ref="I508:J508"/>
    <mergeCell ref="A509:B509"/>
    <mergeCell ref="D509:H509"/>
    <mergeCell ref="I509:J509"/>
    <mergeCell ref="A510:B510"/>
    <mergeCell ref="D510:H510"/>
    <mergeCell ref="I510:J5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  <headerFooter>
    <oddHeader xml:space="preserve">&amp;LПриложение №1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topLeftCell="A19" zoomScale="70" zoomScaleNormal="70" workbookViewId="0">
      <selection activeCell="A46" sqref="A46:XFD46"/>
    </sheetView>
  </sheetViews>
  <sheetFormatPr defaultRowHeight="14.4" x14ac:dyDescent="0.3"/>
  <cols>
    <col min="1" max="1" width="14.21875" bestFit="1" customWidth="1"/>
    <col min="2" max="2" width="18.109375" customWidth="1"/>
    <col min="3" max="3" width="52.6640625" bestFit="1" customWidth="1"/>
    <col min="4" max="4" width="25.88671875" customWidth="1"/>
    <col min="5" max="5" width="16.44140625" bestFit="1" customWidth="1"/>
    <col min="6" max="6" width="31" bestFit="1" customWidth="1"/>
    <col min="7" max="7" width="13.33203125" bestFit="1" customWidth="1"/>
    <col min="8" max="8" width="14.109375" customWidth="1"/>
  </cols>
  <sheetData>
    <row r="1" spans="1:8" ht="16.2" thickBot="1" x14ac:dyDescent="0.35">
      <c r="A1" s="183" t="s">
        <v>161</v>
      </c>
      <c r="B1" s="184"/>
      <c r="C1" s="184"/>
      <c r="D1" s="184"/>
      <c r="E1" s="184"/>
      <c r="F1" s="184"/>
      <c r="G1" s="184"/>
      <c r="H1" s="185"/>
    </row>
    <row r="2" spans="1:8" ht="16.2" thickBot="1" x14ac:dyDescent="0.35">
      <c r="A2" s="169" t="s">
        <v>557</v>
      </c>
      <c r="B2" s="192"/>
      <c r="C2" s="192"/>
      <c r="D2" s="192"/>
      <c r="E2" s="192"/>
      <c r="F2" s="192"/>
      <c r="G2" s="192"/>
      <c r="H2" s="170"/>
    </row>
    <row r="3" spans="1:8" ht="16.2" thickBot="1" x14ac:dyDescent="0.35">
      <c r="A3" s="171" t="s">
        <v>162</v>
      </c>
      <c r="B3" s="172"/>
      <c r="C3" s="172"/>
      <c r="D3" s="172"/>
      <c r="E3" s="172"/>
      <c r="F3" s="172"/>
      <c r="G3" s="172"/>
      <c r="H3" s="173"/>
    </row>
    <row r="4" spans="1:8" ht="16.2" thickBot="1" x14ac:dyDescent="0.35">
      <c r="A4" s="2"/>
      <c r="B4" s="2"/>
      <c r="C4" s="2"/>
      <c r="D4" s="2"/>
      <c r="E4" s="2"/>
      <c r="F4" s="2"/>
      <c r="G4" s="2"/>
      <c r="H4" s="2"/>
    </row>
    <row r="5" spans="1:8" ht="16.2" thickBot="1" x14ac:dyDescent="0.35">
      <c r="A5" s="186" t="s">
        <v>573</v>
      </c>
      <c r="B5" s="187"/>
      <c r="C5" s="187"/>
      <c r="D5" s="187"/>
      <c r="E5" s="187"/>
      <c r="F5" s="187"/>
      <c r="G5" s="187"/>
      <c r="H5" s="188"/>
    </row>
    <row r="6" spans="1:8" ht="16.2" thickBot="1" x14ac:dyDescent="0.35">
      <c r="A6" s="2"/>
      <c r="B6" s="2"/>
      <c r="C6" s="2"/>
      <c r="D6" s="2"/>
      <c r="E6" s="2"/>
      <c r="F6" s="2"/>
      <c r="G6" s="2"/>
      <c r="H6" s="2"/>
    </row>
    <row r="7" spans="1:8" ht="16.2" thickBot="1" x14ac:dyDescent="0.35">
      <c r="A7" s="163" t="s">
        <v>5</v>
      </c>
      <c r="B7" s="165"/>
      <c r="C7" s="189" t="s">
        <v>269</v>
      </c>
      <c r="D7" s="190"/>
      <c r="E7" s="190"/>
      <c r="F7" s="190"/>
      <c r="G7" s="190"/>
      <c r="H7" s="191"/>
    </row>
    <row r="8" spans="1:8" ht="16.2" thickBot="1" x14ac:dyDescent="0.35">
      <c r="A8" s="2"/>
      <c r="B8" s="2"/>
      <c r="C8" s="171" t="s">
        <v>163</v>
      </c>
      <c r="D8" s="172"/>
      <c r="E8" s="172"/>
      <c r="F8" s="172"/>
      <c r="G8" s="172"/>
      <c r="H8" s="173"/>
    </row>
    <row r="9" spans="1:8" ht="16.2" thickBot="1" x14ac:dyDescent="0.35">
      <c r="A9" s="174" t="s">
        <v>8</v>
      </c>
      <c r="B9" s="175"/>
      <c r="C9" s="176"/>
      <c r="D9" s="177">
        <f>H40</f>
        <v>13474.684186158589</v>
      </c>
      <c r="E9" s="178"/>
      <c r="F9" s="179"/>
      <c r="G9" s="2" t="s">
        <v>164</v>
      </c>
      <c r="H9" s="2"/>
    </row>
    <row r="10" spans="1:8" ht="16.2" thickBot="1" x14ac:dyDescent="0.35">
      <c r="A10" s="2"/>
      <c r="B10" s="2"/>
      <c r="C10" s="2"/>
      <c r="D10" s="2"/>
      <c r="E10" s="2"/>
      <c r="F10" s="2"/>
      <c r="G10" s="2"/>
      <c r="H10" s="2"/>
    </row>
    <row r="11" spans="1:8" ht="16.2" thickBot="1" x14ac:dyDescent="0.35">
      <c r="A11" s="163" t="s">
        <v>165</v>
      </c>
      <c r="B11" s="164"/>
      <c r="C11" s="165"/>
      <c r="D11" s="2"/>
      <c r="E11" s="2"/>
      <c r="F11" s="2"/>
      <c r="G11" s="2"/>
      <c r="H11" s="2"/>
    </row>
    <row r="12" spans="1:8" ht="16.2" thickBot="1" x14ac:dyDescent="0.35">
      <c r="A12" s="163" t="s">
        <v>166</v>
      </c>
      <c r="B12" s="164"/>
      <c r="C12" s="165"/>
      <c r="D12" s="180">
        <v>1764.36</v>
      </c>
      <c r="E12" s="181"/>
      <c r="F12" s="182"/>
      <c r="G12" s="2" t="s">
        <v>53</v>
      </c>
      <c r="H12" s="2"/>
    </row>
    <row r="13" spans="1:8" ht="16.2" thickBot="1" x14ac:dyDescent="0.35">
      <c r="A13" s="2"/>
      <c r="B13" s="2"/>
      <c r="C13" s="2"/>
      <c r="D13" s="2"/>
      <c r="E13" s="2"/>
      <c r="F13" s="2"/>
      <c r="G13" s="2"/>
      <c r="H13" s="2"/>
    </row>
    <row r="14" spans="1:8" ht="16.2" thickBot="1" x14ac:dyDescent="0.35">
      <c r="A14" s="163" t="s">
        <v>167</v>
      </c>
      <c r="B14" s="164"/>
      <c r="C14" s="165"/>
      <c r="D14" s="2"/>
      <c r="E14" s="2"/>
      <c r="F14" s="2"/>
      <c r="G14" s="2"/>
      <c r="H14" s="2"/>
    </row>
    <row r="15" spans="1:8" ht="16.2" thickBot="1" x14ac:dyDescent="0.35">
      <c r="A15" s="163" t="s">
        <v>168</v>
      </c>
      <c r="B15" s="164"/>
      <c r="C15" s="165"/>
      <c r="D15" s="2"/>
      <c r="E15" s="2"/>
      <c r="F15" s="2"/>
      <c r="G15" s="2"/>
      <c r="H15" s="2"/>
    </row>
    <row r="16" spans="1:8" ht="16.2" thickBot="1" x14ac:dyDescent="0.35">
      <c r="A16" s="163" t="s">
        <v>166</v>
      </c>
      <c r="B16" s="164"/>
      <c r="C16" s="165"/>
      <c r="D16" s="166">
        <f>D9/D12</f>
        <v>7.6371512538022799</v>
      </c>
      <c r="E16" s="167"/>
      <c r="F16" s="168"/>
      <c r="G16" s="2" t="s">
        <v>169</v>
      </c>
      <c r="H16" s="2"/>
    </row>
    <row r="17" spans="1:8" ht="16.2" thickBot="1" x14ac:dyDescent="0.35">
      <c r="A17" s="2"/>
      <c r="B17" s="2"/>
      <c r="C17" s="2"/>
      <c r="D17" s="2"/>
      <c r="E17" s="2"/>
      <c r="F17" s="2"/>
      <c r="G17" s="2"/>
      <c r="H17" s="2"/>
    </row>
    <row r="18" spans="1:8" ht="16.2" thickBot="1" x14ac:dyDescent="0.35">
      <c r="A18" s="163" t="s">
        <v>194</v>
      </c>
      <c r="B18" s="164"/>
      <c r="C18" s="165"/>
      <c r="D18" s="169" t="s">
        <v>463</v>
      </c>
      <c r="E18" s="170"/>
      <c r="F18" s="2" t="s">
        <v>170</v>
      </c>
      <c r="G18" s="2"/>
      <c r="H18" s="2"/>
    </row>
    <row r="19" spans="1:8" ht="15.6" x14ac:dyDescent="0.3">
      <c r="A19" s="4"/>
      <c r="B19" s="4"/>
      <c r="C19" s="4"/>
      <c r="D19" s="4"/>
      <c r="E19" s="4"/>
      <c r="F19" s="4"/>
      <c r="G19" s="4"/>
      <c r="H19" s="4"/>
    </row>
    <row r="20" spans="1:8" ht="15.6" x14ac:dyDescent="0.3">
      <c r="A20" s="161" t="s">
        <v>171</v>
      </c>
      <c r="B20" s="161" t="s">
        <v>18</v>
      </c>
      <c r="C20" s="162" t="s">
        <v>172</v>
      </c>
      <c r="D20" s="161" t="s">
        <v>173</v>
      </c>
      <c r="E20" s="161"/>
      <c r="F20" s="161"/>
      <c r="G20" s="161"/>
      <c r="H20" s="161"/>
    </row>
    <row r="21" spans="1:8" x14ac:dyDescent="0.3">
      <c r="A21" s="161"/>
      <c r="B21" s="161"/>
      <c r="C21" s="162"/>
      <c r="D21" s="161" t="s">
        <v>174</v>
      </c>
      <c r="E21" s="161" t="s">
        <v>15</v>
      </c>
      <c r="F21" s="161" t="s">
        <v>175</v>
      </c>
      <c r="G21" s="161" t="s">
        <v>176</v>
      </c>
      <c r="H21" s="161" t="s">
        <v>177</v>
      </c>
    </row>
    <row r="22" spans="1:8" x14ac:dyDescent="0.3">
      <c r="A22" s="161"/>
      <c r="B22" s="161"/>
      <c r="C22" s="162"/>
      <c r="D22" s="161"/>
      <c r="E22" s="161"/>
      <c r="F22" s="161"/>
      <c r="G22" s="161"/>
      <c r="H22" s="161"/>
    </row>
    <row r="23" spans="1:8" x14ac:dyDescent="0.3">
      <c r="A23" s="161"/>
      <c r="B23" s="161"/>
      <c r="C23" s="162"/>
      <c r="D23" s="161"/>
      <c r="E23" s="161"/>
      <c r="F23" s="161"/>
      <c r="G23" s="161"/>
      <c r="H23" s="161"/>
    </row>
    <row r="24" spans="1:8" x14ac:dyDescent="0.3">
      <c r="A24" s="161"/>
      <c r="B24" s="161"/>
      <c r="C24" s="162"/>
      <c r="D24" s="161"/>
      <c r="E24" s="161"/>
      <c r="F24" s="161"/>
      <c r="G24" s="161"/>
      <c r="H24" s="161"/>
    </row>
    <row r="25" spans="1:8" ht="15.6" x14ac:dyDescent="0.3">
      <c r="A25" s="5">
        <v>1</v>
      </c>
      <c r="B25" s="5">
        <v>2</v>
      </c>
      <c r="C25" s="5">
        <v>3</v>
      </c>
      <c r="D25" s="6">
        <v>4</v>
      </c>
      <c r="E25" s="6">
        <v>5</v>
      </c>
      <c r="F25" s="6">
        <v>6</v>
      </c>
      <c r="G25" s="6">
        <v>7</v>
      </c>
      <c r="H25" s="6">
        <v>8</v>
      </c>
    </row>
    <row r="26" spans="1:8" ht="15.6" x14ac:dyDescent="0.3">
      <c r="A26" s="5">
        <v>1</v>
      </c>
      <c r="B26" s="5" t="s">
        <v>565</v>
      </c>
      <c r="C26" s="5" t="s">
        <v>178</v>
      </c>
      <c r="D26" s="7">
        <f>'Локальная смета '!R645/1000</f>
        <v>10580.802861209269</v>
      </c>
      <c r="E26" s="8"/>
      <c r="F26" s="8"/>
      <c r="G26" s="8"/>
      <c r="H26" s="8">
        <f>D26</f>
        <v>10580.802861209269</v>
      </c>
    </row>
    <row r="27" spans="1:8" ht="15.6" x14ac:dyDescent="0.3">
      <c r="A27" s="6">
        <v>2</v>
      </c>
      <c r="B27" s="5" t="s">
        <v>566</v>
      </c>
      <c r="C27" s="5" t="s">
        <v>264</v>
      </c>
      <c r="D27" s="8"/>
      <c r="E27" s="8">
        <f>D26*0.12</f>
        <v>1269.6963433451124</v>
      </c>
      <c r="F27" s="8"/>
      <c r="G27" s="8"/>
      <c r="H27" s="8">
        <f>E27</f>
        <v>1269.6963433451124</v>
      </c>
    </row>
    <row r="28" spans="1:8" ht="15.6" x14ac:dyDescent="0.3">
      <c r="A28" s="6">
        <v>3</v>
      </c>
      <c r="B28" s="5" t="s">
        <v>567</v>
      </c>
      <c r="C28" s="5" t="s">
        <v>265</v>
      </c>
      <c r="D28" s="8"/>
      <c r="E28" s="8">
        <f>D26*0.08</f>
        <v>846.46422889674159</v>
      </c>
      <c r="F28" s="8"/>
      <c r="G28" s="8"/>
      <c r="H28" s="8">
        <f>E28</f>
        <v>846.46422889674159</v>
      </c>
    </row>
    <row r="29" spans="1:8" ht="15.6" x14ac:dyDescent="0.3">
      <c r="A29" s="6">
        <v>4</v>
      </c>
      <c r="B29" s="5" t="s">
        <v>566</v>
      </c>
      <c r="C29" s="5" t="s">
        <v>266</v>
      </c>
      <c r="D29" s="8"/>
      <c r="E29" s="8">
        <f>D26*0.1</f>
        <v>1058.080286120927</v>
      </c>
      <c r="F29" s="8"/>
      <c r="G29" s="8"/>
      <c r="H29" s="8"/>
    </row>
    <row r="30" spans="1:8" ht="15.6" x14ac:dyDescent="0.3">
      <c r="A30" s="6">
        <v>5</v>
      </c>
      <c r="B30" s="5" t="s">
        <v>567</v>
      </c>
      <c r="C30" s="5" t="s">
        <v>267</v>
      </c>
      <c r="D30" s="8"/>
      <c r="E30" s="8">
        <f>D26*0.05</f>
        <v>529.04014306046349</v>
      </c>
      <c r="F30" s="8"/>
      <c r="G30" s="8"/>
      <c r="H30" s="8"/>
    </row>
    <row r="31" spans="1:8" ht="15.6" x14ac:dyDescent="0.3">
      <c r="A31" s="6">
        <v>6</v>
      </c>
      <c r="B31" s="5" t="s">
        <v>568</v>
      </c>
      <c r="C31" s="5" t="s">
        <v>553</v>
      </c>
      <c r="D31" s="8"/>
      <c r="E31" s="8"/>
      <c r="F31" s="8">
        <f>D26*0.006</f>
        <v>63.484817167255621</v>
      </c>
      <c r="G31" s="8"/>
      <c r="H31" s="8">
        <f>F31</f>
        <v>63.484817167255621</v>
      </c>
    </row>
    <row r="32" spans="1:8" ht="15.6" x14ac:dyDescent="0.3">
      <c r="A32" s="6">
        <v>7</v>
      </c>
      <c r="B32" s="5" t="s">
        <v>569</v>
      </c>
      <c r="C32" s="5" t="s">
        <v>554</v>
      </c>
      <c r="D32" s="8"/>
      <c r="E32" s="8"/>
      <c r="F32" s="8">
        <f>D26*0.015</f>
        <v>158.71204291813905</v>
      </c>
      <c r="G32" s="8"/>
      <c r="H32" s="8">
        <f>F32</f>
        <v>158.71204291813905</v>
      </c>
    </row>
    <row r="33" spans="1:8" ht="15.6" x14ac:dyDescent="0.3">
      <c r="A33" s="6"/>
      <c r="B33" s="6"/>
      <c r="C33" s="6" t="s">
        <v>179</v>
      </c>
      <c r="D33" s="10">
        <f>D26</f>
        <v>10580.802861209269</v>
      </c>
      <c r="E33" s="10">
        <f>E27+E28+E29+E30</f>
        <v>3703.2810014232446</v>
      </c>
      <c r="F33" s="10">
        <f>F31+F32</f>
        <v>222.19686008539466</v>
      </c>
      <c r="G33" s="10">
        <v>0</v>
      </c>
      <c r="H33" s="10">
        <f>SUM(H26:H32)</f>
        <v>12919.160293536519</v>
      </c>
    </row>
    <row r="34" spans="1:8" ht="15.6" x14ac:dyDescent="0.3">
      <c r="A34" s="6"/>
      <c r="B34" s="16" t="s">
        <v>268</v>
      </c>
      <c r="C34" s="9" t="s">
        <v>180</v>
      </c>
      <c r="D34" s="10">
        <f>D33*0.011</f>
        <v>116.38883147330196</v>
      </c>
      <c r="E34" s="10">
        <f>E33*0.011</f>
        <v>40.736091015655688</v>
      </c>
      <c r="F34" s="10">
        <f>F33*0.011</f>
        <v>2.4441654609393413</v>
      </c>
      <c r="G34" s="10">
        <v>0</v>
      </c>
      <c r="H34" s="10">
        <f>H33*0.011</f>
        <v>142.1107632289017</v>
      </c>
    </row>
    <row r="35" spans="1:8" ht="15.6" x14ac:dyDescent="0.3">
      <c r="A35" s="6"/>
      <c r="B35" s="6"/>
      <c r="C35" s="6" t="s">
        <v>179</v>
      </c>
      <c r="D35" s="8">
        <f>D33+D34</f>
        <v>10697.191692682571</v>
      </c>
      <c r="E35" s="8">
        <f>E33+E34</f>
        <v>3744.0170924389004</v>
      </c>
      <c r="F35" s="8">
        <f>F33+F34</f>
        <v>224.64102554633399</v>
      </c>
      <c r="G35" s="8">
        <f>G33+G34</f>
        <v>0</v>
      </c>
      <c r="H35" s="10">
        <f>H33+H34</f>
        <v>13061.271056765421</v>
      </c>
    </row>
    <row r="36" spans="1:8" ht="46.8" x14ac:dyDescent="0.3">
      <c r="A36" s="6"/>
      <c r="B36" s="6" t="s">
        <v>181</v>
      </c>
      <c r="C36" s="6" t="s">
        <v>555</v>
      </c>
      <c r="D36" s="10">
        <f>D33*0.012</f>
        <v>126.96963433451124</v>
      </c>
      <c r="E36" s="10">
        <f>E33*0.012</f>
        <v>44.439372017078938</v>
      </c>
      <c r="F36" s="10">
        <f>F33*0.012</f>
        <v>2.666362321024736</v>
      </c>
      <c r="G36" s="10">
        <f>G33*0.012</f>
        <v>0</v>
      </c>
      <c r="H36" s="8">
        <f>H33*0.012</f>
        <v>155.02992352243822</v>
      </c>
    </row>
    <row r="37" spans="1:8" ht="15.6" x14ac:dyDescent="0.3">
      <c r="A37" s="6"/>
      <c r="B37" s="6"/>
      <c r="C37" s="6" t="s">
        <v>179</v>
      </c>
      <c r="D37" s="8">
        <f>D35+D36</f>
        <v>10824.161327017082</v>
      </c>
      <c r="E37" s="8">
        <f>E35+E36</f>
        <v>3788.4564644559791</v>
      </c>
      <c r="F37" s="8">
        <f>F35+F36</f>
        <v>227.30738786735873</v>
      </c>
      <c r="G37" s="8">
        <f>G35+G36</f>
        <v>0</v>
      </c>
      <c r="H37" s="8">
        <f>H35+H36</f>
        <v>13216.300980287859</v>
      </c>
    </row>
    <row r="38" spans="1:8" ht="15.6" x14ac:dyDescent="0.3">
      <c r="A38" s="6"/>
      <c r="B38" s="6"/>
      <c r="C38" s="11" t="s">
        <v>182</v>
      </c>
      <c r="D38" s="12">
        <f>D33*0.02</f>
        <v>211.6160572241854</v>
      </c>
      <c r="E38" s="12">
        <f>E33*0.02</f>
        <v>74.065620028464892</v>
      </c>
      <c r="F38" s="12">
        <f>F33*0.02</f>
        <v>4.4439372017078931</v>
      </c>
      <c r="G38" s="12">
        <f>G33*0.02</f>
        <v>0</v>
      </c>
      <c r="H38" s="12">
        <f>H33*0.02</f>
        <v>258.38320587073036</v>
      </c>
    </row>
    <row r="39" spans="1:8" ht="15.6" x14ac:dyDescent="0.3">
      <c r="A39" s="6"/>
      <c r="B39" s="6"/>
      <c r="C39" s="11" t="s">
        <v>179</v>
      </c>
      <c r="D39" s="12">
        <f>D37+D38</f>
        <v>11035.777384241268</v>
      </c>
      <c r="E39" s="12">
        <f>E37+E38</f>
        <v>3862.5220844844439</v>
      </c>
      <c r="F39" s="12">
        <f>F37+F38</f>
        <v>231.75132506906661</v>
      </c>
      <c r="G39" s="12">
        <f>G37+G38</f>
        <v>0</v>
      </c>
      <c r="H39" s="12">
        <f>H37+H38</f>
        <v>13474.684186158589</v>
      </c>
    </row>
    <row r="40" spans="1:8" ht="15.6" x14ac:dyDescent="0.3">
      <c r="A40" s="6"/>
      <c r="B40" s="6"/>
      <c r="C40" s="17" t="s">
        <v>183</v>
      </c>
      <c r="D40" s="18">
        <f>D39</f>
        <v>11035.777384241268</v>
      </c>
      <c r="E40" s="18">
        <f>E39</f>
        <v>3862.5220844844439</v>
      </c>
      <c r="F40" s="14">
        <f>F39</f>
        <v>231.75132506906661</v>
      </c>
      <c r="G40" s="14">
        <f>G39</f>
        <v>0</v>
      </c>
      <c r="H40" s="14">
        <f>H39</f>
        <v>13474.684186158589</v>
      </c>
    </row>
    <row r="41" spans="1:8" ht="15.6" x14ac:dyDescent="0.3">
      <c r="A41" s="6"/>
      <c r="B41" s="6"/>
      <c r="C41" s="13" t="s">
        <v>184</v>
      </c>
      <c r="D41" s="8"/>
      <c r="E41" s="8"/>
      <c r="F41" s="8"/>
      <c r="G41" s="8"/>
      <c r="H41" s="8"/>
    </row>
    <row r="42" spans="1:8" ht="15.6" x14ac:dyDescent="0.3">
      <c r="A42" s="6"/>
      <c r="B42" s="6"/>
      <c r="C42" s="11" t="s">
        <v>185</v>
      </c>
      <c r="D42" s="8"/>
      <c r="E42" s="8"/>
      <c r="F42" s="8"/>
      <c r="G42" s="8"/>
      <c r="H42" s="12">
        <f>'Локальная смета '!O11/1000</f>
        <v>1.2859934072211698</v>
      </c>
    </row>
    <row r="43" spans="1:8" ht="15.6" x14ac:dyDescent="0.3">
      <c r="A43" s="6"/>
      <c r="B43" s="6"/>
      <c r="C43" s="11" t="s">
        <v>186</v>
      </c>
      <c r="D43" s="8"/>
      <c r="E43" s="8"/>
      <c r="F43" s="8"/>
      <c r="G43" s="8"/>
      <c r="H43" s="12">
        <f>('Локальная смета '!R22+'Локальная смета '!R34+'Локальная смета '!R46+'Локальная смета '!R60+'Локальная смета '!R72+'Локальная смета '!R87+'Локальная смета '!R101+'Локальная смета '!R117+'Локальная смета '!R131+'Локальная смета '!R143+'Локальная смета '!R155++'Локальная смета '!R179+'Локальная смета '!R191+'Локальная смета '!R205+'Локальная смета '!R217+'Локальная смета '!R229+'Локальная смета '!R241+'Локальная смета '!R256+'Локальная смета '!R268+'Локальная смета '!R280+'Локальная смета '!R297+'Локальная смета '!R310+'Локальная смета '!R323+'Локальная смета '!R337+'Локальная смета '!R351+'Локальная смета '!R363+'Локальная смета '!R375+'Локальная смета '!R387+'Локальная смета '!R400+'Локальная смета '!R412+'Локальная смета '!R424+'Локальная смета '!R438+'Локальная смета '!R451+'Локальная смета '!R467+'Локальная смета '!R479+'Локальная смета '!R491+'Локальная смета '!R503+'Локальная смета '!R517+'Локальная смета '!R529+'Локальная смета '!R541+'Локальная смета '!R555+'Локальная смета '!R567+'Локальная смета '!R581+'Локальная смета '!R593+'Локальная смета '!R607+'Локальная смета '!R619+'Локальная смета '!R633)/1000</f>
        <v>461.94353937951979</v>
      </c>
    </row>
    <row r="44" spans="1:8" ht="15.6" x14ac:dyDescent="0.3">
      <c r="A44" s="6"/>
      <c r="B44" s="6"/>
      <c r="C44" s="11" t="s">
        <v>187</v>
      </c>
      <c r="D44" s="8"/>
      <c r="E44" s="8"/>
      <c r="F44" s="8"/>
      <c r="G44" s="8"/>
      <c r="H44" s="12">
        <f>('Локальная смета '!R24+'Локальная смета '!R36+'Локальная смета '!R48+'Локальная смета '!R62+'Локальная смета '!R74+'Локальная смета '!R81+'Локальная смета '!R82+'Локальная смета '!R83+'Локальная смета '!R89+'Локальная смета '!R96+'Локальная смета '!R97+'Локальная смета '!R103+'Локальная смета '!R113+'Локальная смета '!R119+'Локальная смета '!R127+'Локальная смета '!R133+'Локальная смета '!R145+'Локальная смета '!R157+'Локальная смета '!R169+'Локальная смета '!R181+'Локальная смета '!R193+'Локальная смета '!R207+'Локальная смета '!R219+'Локальная смета '!R231+'Локальная смета '!R243+'Локальная смета '!R258+'Локальная смета '!R270+'Локальная смета '!R282+'Локальная смета '!R289+'Локальная смета '!R290+'Локальная смета '!R291+'Локальная смета '!R292+'Локальная смета '!R293+'Локальная смета '!R299+'Локальная смета '!R312+'Локальная смета '!R325+'Локальная смета '!R339+'Локальная смета '!R353+'Локальная смета '!R365+'Локальная смета '!R377+'Локальная смета '!R389+'Локальная смета '!R402+'Локальная смета '!R414+'Локальная смета '!R426+'Локальная смета '!R440+'Локальная смета '!R453+'Локальная смета '!R460+'Локальная смета '!R469+'Локальная смета '!R481+'Локальная смета '!R493+'Локальная смета '!R505+'Локальная смета '!R519+'Локальная смета '!R531+'Локальная смета '!R543+'Локальная смета '!R557+'Локальная смета '!R569+'Локальная смета '!R583+'Локальная смета '!R595+'Локальная смета '!R609+'Локальная смета '!R621+'Локальная смета '!R635+'Локальная смета '!R642+'Локальная смета '!R110+'Локальная смета '!R111+'Локальная смета '!R112+'Локальная смета '!R126)/1000</f>
        <v>5865.3818940222009</v>
      </c>
    </row>
    <row r="45" spans="1:8" ht="15.6" x14ac:dyDescent="0.3">
      <c r="A45" s="6"/>
      <c r="B45" s="6"/>
      <c r="C45" s="11" t="s">
        <v>188</v>
      </c>
      <c r="D45" s="8"/>
      <c r="E45" s="10"/>
      <c r="F45" s="8"/>
      <c r="G45" s="8"/>
      <c r="H45" s="12">
        <f>('Локальная смета '!R29+'Локальная смета '!R41+'Локальная смета '!R53+'Локальная смета '!R79+'Локальная смета '!R94+'Локальная смета '!R108+'Локальная смета '!R124+'Локальная смета '!R138+'Локальная смета '!R150+'Локальная смета '!R162+'Локальная смета '!R174+'Локальная смета '!R186+'Локальная смета '!R198+'Локальная смета '!R212+'Локальная смета '!R224+'Локальная смета '!R236+'Локальная смета '!R248+'Локальная смета '!R263+'Локальная смета '!R275+'Локальная смета '!R287+'Локальная смета '!R304+'Локальная смета '!R317+'Локальная смета '!R330+'Локальная смета '!R344+'Локальная смета '!R358+'Локальная смета '!R370+'Локальная смета '!R382+'Локальная смета '!R394+'Локальная смета '!R407+'Локальная смета '!R419+'Локальная смета '!R431+'Локальная смета '!R445+'Локальная смета '!R458+'Локальная смета '!R474+'Локальная смета '!R486+'Локальная смета '!R498+'Локальная смета '!R510+'Локальная смета '!R524+'Локальная смета '!R536+'Локальная смета '!R548+'Локальная смета '!R562+'Локальная смета '!R574+'Локальная смета '!R588+'Локальная смета '!R600+'Локальная смета '!R614+'Локальная смета '!R626+'Локальная смета '!R640)/1000</f>
        <v>1362.5564108432354</v>
      </c>
    </row>
    <row r="46" spans="1:8" ht="15.6" x14ac:dyDescent="0.3">
      <c r="A46" s="6"/>
      <c r="B46" s="6"/>
      <c r="C46" s="11" t="s">
        <v>189</v>
      </c>
      <c r="D46" s="8"/>
      <c r="E46" s="8"/>
      <c r="F46" s="8"/>
      <c r="G46" s="8"/>
      <c r="H46" s="12">
        <f>('Локальная смета '!R30+'Локальная смета '!R42+'Локальная смета '!R54+'Локальная смета '!R68+'Локальная смета '!R80+'Локальная смета '!R95+'Локальная смета '!R109+'Локальная смета '!R125+'Локальная смета '!R139+'Локальная смета '!R151+'Локальная смета '!R163+'Локальная смета '!R175+'Локальная смета '!R187+'Локальная смета '!R199+'Локальная смета '!R213+'Локальная смета '!R225+'Локальная смета '!R237+'Локальная смета '!R249+'Локальная смета '!R264+'Локальная смета '!R276+'Локальная смета '!R288+'Локальная смета '!R305+'Локальная смета '!R318+'Локальная смета '!R331+'Локальная смета '!R345+'Локальная смета '!R359+'Локальная смета '!R383+'Локальная смета '!R395+'Локальная смета '!R408+'Локальная смета '!R395+'Локальная смета '!R408+'Локальная смета '!R420+'Локальная смета '!R432+'Локальная смета '!R446+'Локальная смета '!R459+'Локальная смета '!R475+'Локальная смета '!R487+'Локальная смета '!R499+'Локальная смета '!R511+'Локальная смета '!R525+'Локальная смета '!R537+'Локальная смета '!R549+'Локальная смета '!R563+'Локальная смета '!R575+'Локальная смета '!R589+'Локальная смета '!R601+'Локальная смета '!R615+'Локальная смета '!R627+'Локальная смета '!R641)/1000</f>
        <v>810.73243614681974</v>
      </c>
    </row>
    <row r="47" spans="1:8" ht="15.6" x14ac:dyDescent="0.3">
      <c r="A47" s="6"/>
      <c r="B47" s="6"/>
      <c r="C47" s="11" t="s">
        <v>190</v>
      </c>
      <c r="D47" s="8"/>
      <c r="E47" s="8"/>
      <c r="F47" s="8"/>
      <c r="G47" s="8"/>
      <c r="H47" s="14">
        <f>F40</f>
        <v>231.75132506906661</v>
      </c>
    </row>
    <row r="48" spans="1:8" ht="15.6" x14ac:dyDescent="0.3">
      <c r="A48" s="6"/>
      <c r="B48" s="6"/>
      <c r="C48" s="11" t="s">
        <v>191</v>
      </c>
      <c r="D48" s="8"/>
      <c r="E48" s="8"/>
      <c r="F48" s="8"/>
      <c r="G48" s="8"/>
      <c r="H48" s="14">
        <f>G40</f>
        <v>0</v>
      </c>
    </row>
  </sheetData>
  <mergeCells count="27">
    <mergeCell ref="A1:H1"/>
    <mergeCell ref="A3:H3"/>
    <mergeCell ref="A5:H5"/>
    <mergeCell ref="A7:B7"/>
    <mergeCell ref="C7:H7"/>
    <mergeCell ref="A2:H2"/>
    <mergeCell ref="C8:H8"/>
    <mergeCell ref="A9:C9"/>
    <mergeCell ref="D9:F9"/>
    <mergeCell ref="A11:C11"/>
    <mergeCell ref="A12:C12"/>
    <mergeCell ref="D12:F12"/>
    <mergeCell ref="A14:C14"/>
    <mergeCell ref="A15:C15"/>
    <mergeCell ref="A16:C16"/>
    <mergeCell ref="D16:F16"/>
    <mergeCell ref="A18:C18"/>
    <mergeCell ref="D18:E18"/>
    <mergeCell ref="A20:A24"/>
    <mergeCell ref="B20:B24"/>
    <mergeCell ref="C20:C24"/>
    <mergeCell ref="D20:H20"/>
    <mergeCell ref="D21:D24"/>
    <mergeCell ref="E21:E24"/>
    <mergeCell ref="F21:F24"/>
    <mergeCell ref="G21:G24"/>
    <mergeCell ref="H21:H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horizontalDpi="300" verticalDpi="300" r:id="rId1"/>
  <headerFooter>
    <oddHeader xml:space="preserve">&amp;LПриложение №2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3"/>
  <sheetViews>
    <sheetView zoomScale="70" zoomScaleNormal="70" workbookViewId="0">
      <selection activeCell="J20" sqref="J20"/>
    </sheetView>
  </sheetViews>
  <sheetFormatPr defaultRowHeight="14.4" x14ac:dyDescent="0.3"/>
  <cols>
    <col min="1" max="1" width="6.21875" bestFit="1" customWidth="1"/>
    <col min="2" max="2" width="28.88671875" customWidth="1"/>
    <col min="3" max="3" width="48.44140625" customWidth="1"/>
    <col min="4" max="4" width="18.44140625" bestFit="1" customWidth="1"/>
    <col min="5" max="5" width="16.21875" bestFit="1" customWidth="1"/>
    <col min="6" max="6" width="30.77734375" bestFit="1" customWidth="1"/>
    <col min="7" max="7" width="13.109375" bestFit="1" customWidth="1"/>
    <col min="8" max="8" width="23.77734375" bestFit="1" customWidth="1"/>
  </cols>
  <sheetData>
    <row r="1" spans="1:8" ht="15.6" x14ac:dyDescent="0.3">
      <c r="A1" s="193"/>
      <c r="B1" s="193"/>
      <c r="C1" s="193"/>
      <c r="D1" s="96"/>
      <c r="E1" s="96"/>
      <c r="F1" s="96"/>
      <c r="G1" s="96" t="s">
        <v>574</v>
      </c>
      <c r="H1" s="96"/>
    </row>
    <row r="2" spans="1:8" ht="15.6" x14ac:dyDescent="0.3">
      <c r="A2" s="96"/>
      <c r="B2" s="96"/>
      <c r="C2" s="96"/>
      <c r="D2" s="96"/>
      <c r="E2" s="96"/>
      <c r="F2" s="96"/>
      <c r="G2" s="96"/>
      <c r="H2" s="96"/>
    </row>
    <row r="3" spans="1:8" ht="15.6" x14ac:dyDescent="0.3">
      <c r="A3" s="193" t="s">
        <v>270</v>
      </c>
      <c r="B3" s="193"/>
      <c r="C3" s="194" t="s">
        <v>271</v>
      </c>
      <c r="D3" s="194"/>
      <c r="E3" s="194"/>
      <c r="F3" s="194"/>
      <c r="G3" s="194"/>
      <c r="H3" s="194"/>
    </row>
    <row r="4" spans="1:8" ht="15.6" x14ac:dyDescent="0.3">
      <c r="A4" s="96"/>
      <c r="B4" s="96"/>
      <c r="C4" s="195" t="s">
        <v>272</v>
      </c>
      <c r="D4" s="195"/>
      <c r="E4" s="195"/>
      <c r="F4" s="195"/>
      <c r="G4" s="195"/>
      <c r="H4" s="96"/>
    </row>
    <row r="5" spans="1:8" ht="15.6" x14ac:dyDescent="0.3">
      <c r="A5" s="96"/>
      <c r="B5" s="96"/>
      <c r="C5" s="96"/>
      <c r="D5" s="96"/>
      <c r="E5" s="96"/>
      <c r="F5" s="96"/>
      <c r="G5" s="96"/>
      <c r="H5" s="96"/>
    </row>
    <row r="6" spans="1:8" ht="15.6" x14ac:dyDescent="0.3">
      <c r="A6" s="196" t="s">
        <v>273</v>
      </c>
      <c r="B6" s="196"/>
      <c r="C6" s="96"/>
      <c r="D6" s="96"/>
      <c r="E6" s="96"/>
      <c r="F6" s="96"/>
      <c r="G6" s="96"/>
      <c r="H6" s="96"/>
    </row>
    <row r="7" spans="1:8" ht="15.6" x14ac:dyDescent="0.3">
      <c r="A7" s="96"/>
      <c r="B7" s="96"/>
      <c r="C7" s="96"/>
      <c r="D7" s="96"/>
      <c r="E7" s="96"/>
      <c r="F7" s="96"/>
      <c r="G7" s="96"/>
      <c r="H7" s="96"/>
    </row>
    <row r="8" spans="1:8" ht="15.6" x14ac:dyDescent="0.3">
      <c r="A8" s="193" t="s">
        <v>274</v>
      </c>
      <c r="B8" s="193"/>
      <c r="C8" s="193"/>
      <c r="D8" s="97">
        <f>H83</f>
        <v>38468.445949621433</v>
      </c>
      <c r="E8" s="96" t="s">
        <v>164</v>
      </c>
      <c r="F8" s="96"/>
      <c r="G8" s="96"/>
      <c r="H8" s="96"/>
    </row>
    <row r="9" spans="1:8" ht="15.6" x14ac:dyDescent="0.3">
      <c r="A9" s="96"/>
      <c r="B9" s="96"/>
      <c r="C9" s="96"/>
      <c r="D9" s="96"/>
      <c r="E9" s="96"/>
      <c r="F9" s="96"/>
      <c r="G9" s="96"/>
      <c r="H9" s="96"/>
    </row>
    <row r="10" spans="1:8" ht="15.6" x14ac:dyDescent="0.3">
      <c r="A10" s="96"/>
      <c r="B10" s="96"/>
      <c r="C10" s="96"/>
      <c r="D10" s="96"/>
      <c r="E10" s="96"/>
      <c r="F10" s="96"/>
      <c r="G10" s="96"/>
      <c r="H10" s="96"/>
    </row>
    <row r="11" spans="1:8" ht="15.6" x14ac:dyDescent="0.3">
      <c r="A11" s="195" t="s">
        <v>275</v>
      </c>
      <c r="B11" s="195"/>
      <c r="C11" s="195"/>
      <c r="D11" s="195"/>
      <c r="E11" s="195"/>
      <c r="F11" s="195"/>
      <c r="G11" s="195"/>
      <c r="H11" s="195"/>
    </row>
    <row r="12" spans="1:8" ht="15.6" x14ac:dyDescent="0.3">
      <c r="A12" s="96"/>
      <c r="B12" s="96"/>
      <c r="C12" s="96"/>
      <c r="D12" s="96"/>
      <c r="E12" s="96"/>
      <c r="F12" s="96"/>
      <c r="G12" s="96"/>
      <c r="H12" s="96"/>
    </row>
    <row r="13" spans="1:8" ht="15.6" x14ac:dyDescent="0.3">
      <c r="A13" s="197" t="s">
        <v>563</v>
      </c>
      <c r="B13" s="197"/>
      <c r="C13" s="197"/>
      <c r="D13" s="197"/>
      <c r="E13" s="197"/>
      <c r="F13" s="197"/>
      <c r="G13" s="197"/>
      <c r="H13" s="197"/>
    </row>
    <row r="14" spans="1:8" ht="15.6" x14ac:dyDescent="0.3">
      <c r="A14" s="96"/>
      <c r="B14" s="96"/>
      <c r="C14" s="96"/>
      <c r="D14" s="96"/>
      <c r="E14" s="96"/>
      <c r="F14" s="96"/>
      <c r="G14" s="96"/>
      <c r="H14" s="96"/>
    </row>
    <row r="15" spans="1:8" ht="15.6" x14ac:dyDescent="0.3">
      <c r="A15" s="198" t="s">
        <v>556</v>
      </c>
      <c r="B15" s="198"/>
      <c r="C15" s="198"/>
      <c r="D15" s="198"/>
      <c r="E15" s="198"/>
      <c r="F15" s="198"/>
      <c r="G15" s="198"/>
      <c r="H15" s="198"/>
    </row>
    <row r="16" spans="1:8" ht="15.6" x14ac:dyDescent="0.3">
      <c r="A16" s="195" t="s">
        <v>276</v>
      </c>
      <c r="B16" s="195"/>
      <c r="C16" s="195"/>
      <c r="D16" s="195"/>
      <c r="E16" s="195"/>
      <c r="F16" s="195"/>
      <c r="G16" s="195"/>
      <c r="H16" s="195"/>
    </row>
    <row r="17" spans="1:8" ht="15.6" x14ac:dyDescent="0.3">
      <c r="A17" s="96"/>
      <c r="B17" s="96"/>
      <c r="C17" s="96"/>
      <c r="D17" s="96"/>
      <c r="E17" s="96"/>
      <c r="F17" s="96"/>
      <c r="G17" s="96"/>
      <c r="H17" s="96"/>
    </row>
    <row r="18" spans="1:8" ht="15.6" x14ac:dyDescent="0.3">
      <c r="A18" s="193" t="s">
        <v>277</v>
      </c>
      <c r="B18" s="193"/>
      <c r="C18" s="193"/>
      <c r="D18" s="98" t="s">
        <v>349</v>
      </c>
      <c r="E18" s="96"/>
      <c r="F18" s="96"/>
      <c r="G18" s="96"/>
      <c r="H18" s="96"/>
    </row>
    <row r="19" spans="1:8" ht="15.6" x14ac:dyDescent="0.3">
      <c r="A19" s="96"/>
      <c r="B19" s="96"/>
      <c r="C19" s="96"/>
      <c r="D19" s="96"/>
      <c r="E19" s="96"/>
      <c r="F19" s="96"/>
      <c r="G19" s="96"/>
      <c r="H19" s="96"/>
    </row>
    <row r="20" spans="1:8" ht="15.6" x14ac:dyDescent="0.3">
      <c r="A20" s="199" t="s">
        <v>171</v>
      </c>
      <c r="B20" s="199" t="s">
        <v>278</v>
      </c>
      <c r="C20" s="199" t="s">
        <v>279</v>
      </c>
      <c r="D20" s="199" t="s">
        <v>280</v>
      </c>
      <c r="E20" s="199"/>
      <c r="F20" s="199"/>
      <c r="G20" s="199"/>
      <c r="H20" s="199" t="s">
        <v>281</v>
      </c>
    </row>
    <row r="21" spans="1:8" x14ac:dyDescent="0.3">
      <c r="A21" s="199"/>
      <c r="B21" s="199"/>
      <c r="C21" s="199"/>
      <c r="D21" s="199" t="s">
        <v>13</v>
      </c>
      <c r="E21" s="199" t="s">
        <v>15</v>
      </c>
      <c r="F21" s="199" t="s">
        <v>175</v>
      </c>
      <c r="G21" s="199" t="s">
        <v>176</v>
      </c>
      <c r="H21" s="199"/>
    </row>
    <row r="22" spans="1:8" x14ac:dyDescent="0.3">
      <c r="A22" s="199"/>
      <c r="B22" s="199"/>
      <c r="C22" s="199"/>
      <c r="D22" s="199"/>
      <c r="E22" s="199"/>
      <c r="F22" s="199"/>
      <c r="G22" s="199"/>
      <c r="H22" s="199"/>
    </row>
    <row r="23" spans="1:8" x14ac:dyDescent="0.3">
      <c r="A23" s="199"/>
      <c r="B23" s="199"/>
      <c r="C23" s="199"/>
      <c r="D23" s="199"/>
      <c r="E23" s="199"/>
      <c r="F23" s="199"/>
      <c r="G23" s="199"/>
      <c r="H23" s="199"/>
    </row>
    <row r="24" spans="1:8" ht="15.6" x14ac:dyDescent="0.3">
      <c r="A24" s="99">
        <v>1</v>
      </c>
      <c r="B24" s="99">
        <v>2</v>
      </c>
      <c r="C24" s="99">
        <v>3</v>
      </c>
      <c r="D24" s="99">
        <v>4</v>
      </c>
      <c r="E24" s="99">
        <v>5</v>
      </c>
      <c r="F24" s="99">
        <v>6</v>
      </c>
      <c r="G24" s="99">
        <v>7</v>
      </c>
      <c r="H24" s="99">
        <v>8</v>
      </c>
    </row>
    <row r="25" spans="1:8" ht="15.6" x14ac:dyDescent="0.3">
      <c r="A25" s="200" t="s">
        <v>282</v>
      </c>
      <c r="B25" s="200"/>
      <c r="C25" s="200"/>
      <c r="D25" s="200"/>
      <c r="E25" s="200"/>
      <c r="F25" s="200"/>
      <c r="G25" s="200"/>
      <c r="H25" s="200"/>
    </row>
    <row r="26" spans="1:8" ht="78" x14ac:dyDescent="0.3">
      <c r="A26" s="99">
        <v>1</v>
      </c>
      <c r="B26" s="100" t="s">
        <v>324</v>
      </c>
      <c r="C26" s="99" t="s">
        <v>558</v>
      </c>
      <c r="D26" s="95"/>
      <c r="E26" s="95"/>
      <c r="F26" s="95"/>
      <c r="G26" s="95">
        <f>(2911*18.737)/1000</f>
        <v>54.543406999999995</v>
      </c>
      <c r="H26" s="95">
        <f>D26+E26+F26+G26</f>
        <v>54.543406999999995</v>
      </c>
    </row>
    <row r="27" spans="1:8" ht="78" x14ac:dyDescent="0.3">
      <c r="A27" s="99">
        <v>2</v>
      </c>
      <c r="B27" s="100" t="s">
        <v>564</v>
      </c>
      <c r="C27" s="99" t="s">
        <v>559</v>
      </c>
      <c r="D27" s="95"/>
      <c r="E27" s="95"/>
      <c r="F27" s="95"/>
      <c r="G27" s="95">
        <f>(12779*0.131*18.737)/1000</f>
        <v>31.366656112999998</v>
      </c>
      <c r="H27" s="95">
        <f>D27+E27+F27+G27</f>
        <v>31.366656112999998</v>
      </c>
    </row>
    <row r="28" spans="1:8" ht="46.8" x14ac:dyDescent="0.3">
      <c r="A28" s="99">
        <v>3</v>
      </c>
      <c r="B28" s="99" t="s">
        <v>284</v>
      </c>
      <c r="C28" s="99" t="s">
        <v>405</v>
      </c>
      <c r="D28" s="95"/>
      <c r="E28" s="95"/>
      <c r="F28" s="95"/>
      <c r="G28" s="95">
        <f>(1240000*0.1*18.737)/1000</f>
        <v>2323.3879999999999</v>
      </c>
      <c r="H28" s="95">
        <f>D28+E28+F28+G28</f>
        <v>2323.3879999999999</v>
      </c>
    </row>
    <row r="29" spans="1:8" ht="124.8" x14ac:dyDescent="0.3">
      <c r="A29" s="99">
        <v>4</v>
      </c>
      <c r="B29" s="99" t="s">
        <v>285</v>
      </c>
      <c r="C29" s="99" t="s">
        <v>286</v>
      </c>
      <c r="D29" s="95"/>
      <c r="E29" s="95"/>
      <c r="F29" s="95"/>
      <c r="G29" s="95">
        <f>D35*0.05/100</f>
        <v>5.2904014306046347</v>
      </c>
      <c r="H29" s="95">
        <f>SUM(D29:G29)</f>
        <v>5.2904014306046347</v>
      </c>
    </row>
    <row r="30" spans="1:8" ht="202.8" x14ac:dyDescent="0.3">
      <c r="A30" s="99">
        <v>5</v>
      </c>
      <c r="B30" s="99"/>
      <c r="C30" s="99" t="s">
        <v>287</v>
      </c>
      <c r="D30" s="95"/>
      <c r="E30" s="95"/>
      <c r="F30" s="95"/>
      <c r="G30" s="95">
        <f>D35*0.1/100</f>
        <v>10.580802861209269</v>
      </c>
      <c r="H30" s="95">
        <f>SUM(D30:G30)</f>
        <v>10.580802861209269</v>
      </c>
    </row>
    <row r="31" spans="1:8" ht="93.6" x14ac:dyDescent="0.3">
      <c r="A31" s="99">
        <v>6</v>
      </c>
      <c r="B31" s="99"/>
      <c r="C31" s="99" t="s">
        <v>288</v>
      </c>
      <c r="D31" s="95"/>
      <c r="E31" s="95"/>
      <c r="F31" s="95"/>
      <c r="G31" s="95">
        <f>D35*0.1/100</f>
        <v>10.580802861209269</v>
      </c>
      <c r="H31" s="95">
        <f>SUM(D31:G31)</f>
        <v>10.580802861209269</v>
      </c>
    </row>
    <row r="32" spans="1:8" ht="156" x14ac:dyDescent="0.3">
      <c r="A32" s="99">
        <v>7</v>
      </c>
      <c r="B32" s="99"/>
      <c r="C32" s="99" t="s">
        <v>289</v>
      </c>
      <c r="D32" s="95"/>
      <c r="E32" s="95"/>
      <c r="F32" s="95"/>
      <c r="G32" s="95">
        <f>D35*0.01/100</f>
        <v>1.0580802861209271</v>
      </c>
      <c r="H32" s="95">
        <f>SUM(D32:G32)</f>
        <v>1.0580802861209271</v>
      </c>
    </row>
    <row r="33" spans="1:8" ht="15.6" x14ac:dyDescent="0.3">
      <c r="A33" s="99"/>
      <c r="B33" s="99"/>
      <c r="C33" s="101" t="s">
        <v>290</v>
      </c>
      <c r="D33" s="102">
        <v>0</v>
      </c>
      <c r="E33" s="102">
        <v>0</v>
      </c>
      <c r="F33" s="102">
        <v>0</v>
      </c>
      <c r="G33" s="102">
        <f>SUM(G26:G32)</f>
        <v>2436.8081505521436</v>
      </c>
      <c r="H33" s="102">
        <f>SUM(H26:H32)</f>
        <v>2436.8081505521436</v>
      </c>
    </row>
    <row r="34" spans="1:8" ht="15.6" x14ac:dyDescent="0.3">
      <c r="A34" s="200" t="s">
        <v>291</v>
      </c>
      <c r="B34" s="200"/>
      <c r="C34" s="200"/>
      <c r="D34" s="200"/>
      <c r="E34" s="200"/>
      <c r="F34" s="200"/>
      <c r="G34" s="200"/>
      <c r="H34" s="200"/>
    </row>
    <row r="35" spans="1:8" ht="15.6" x14ac:dyDescent="0.3">
      <c r="A35" s="99">
        <v>8</v>
      </c>
      <c r="B35" s="95" t="s">
        <v>565</v>
      </c>
      <c r="C35" s="95" t="s">
        <v>292</v>
      </c>
      <c r="D35" s="95">
        <f>'Объектная смета'!D33</f>
        <v>10580.802861209269</v>
      </c>
      <c r="E35" s="95">
        <f>'Объектная смета'!E35</f>
        <v>3744.0170924389004</v>
      </c>
      <c r="F35" s="95">
        <f>'Объектная смета'!F33</f>
        <v>222.19686008539466</v>
      </c>
      <c r="G35" s="95">
        <f>'Объектная смета'!G33</f>
        <v>0</v>
      </c>
      <c r="H35" s="95">
        <f>SUM(D35:G35)</f>
        <v>14547.016813733564</v>
      </c>
    </row>
    <row r="36" spans="1:8" ht="15.6" x14ac:dyDescent="0.3">
      <c r="A36" s="95"/>
      <c r="B36" s="95"/>
      <c r="C36" s="102" t="s">
        <v>293</v>
      </c>
      <c r="D36" s="95">
        <f>D35</f>
        <v>10580.802861209269</v>
      </c>
      <c r="E36" s="95">
        <f>E35</f>
        <v>3744.0170924389004</v>
      </c>
      <c r="F36" s="95">
        <f>F35</f>
        <v>222.19686008539466</v>
      </c>
      <c r="G36" s="95">
        <f>G35</f>
        <v>0</v>
      </c>
      <c r="H36" s="102">
        <f>H35</f>
        <v>14547.016813733564</v>
      </c>
    </row>
    <row r="37" spans="1:8" ht="15.6" x14ac:dyDescent="0.3">
      <c r="A37" s="201" t="s">
        <v>294</v>
      </c>
      <c r="B37" s="201"/>
      <c r="C37" s="201"/>
      <c r="D37" s="201"/>
      <c r="E37" s="201"/>
      <c r="F37" s="201"/>
      <c r="G37" s="201"/>
      <c r="H37" s="201"/>
    </row>
    <row r="38" spans="1:8" ht="31.2" x14ac:dyDescent="0.3">
      <c r="A38" s="99">
        <v>9</v>
      </c>
      <c r="B38" s="95" t="s">
        <v>283</v>
      </c>
      <c r="C38" s="95" t="s">
        <v>295</v>
      </c>
      <c r="D38" s="95">
        <f>D35*0.03</f>
        <v>317.4240858362781</v>
      </c>
      <c r="E38" s="95">
        <f>E35*0.03</f>
        <v>112.32051277316701</v>
      </c>
      <c r="F38" s="95">
        <f>F35*0.03</f>
        <v>6.6659058025618396</v>
      </c>
      <c r="G38" s="95">
        <f>G35*0.03</f>
        <v>0</v>
      </c>
      <c r="H38" s="95">
        <f>SUM(D38:G38)</f>
        <v>436.41050441200696</v>
      </c>
    </row>
    <row r="39" spans="1:8" ht="15.6" x14ac:dyDescent="0.3">
      <c r="A39" s="95"/>
      <c r="B39" s="95"/>
      <c r="C39" s="102" t="s">
        <v>296</v>
      </c>
      <c r="D39" s="95">
        <f>D38</f>
        <v>317.4240858362781</v>
      </c>
      <c r="E39" s="95">
        <f>E38</f>
        <v>112.32051277316701</v>
      </c>
      <c r="F39" s="95">
        <f>F38</f>
        <v>6.6659058025618396</v>
      </c>
      <c r="G39" s="95">
        <f>G38</f>
        <v>0</v>
      </c>
      <c r="H39" s="102">
        <f>H38</f>
        <v>436.41050441200696</v>
      </c>
    </row>
    <row r="40" spans="1:8" ht="15.6" x14ac:dyDescent="0.3">
      <c r="A40" s="201" t="s">
        <v>297</v>
      </c>
      <c r="B40" s="201"/>
      <c r="C40" s="201"/>
      <c r="D40" s="201"/>
      <c r="E40" s="201"/>
      <c r="F40" s="201"/>
      <c r="G40" s="201"/>
      <c r="H40" s="201"/>
    </row>
    <row r="41" spans="1:8" ht="15.6" x14ac:dyDescent="0.3">
      <c r="A41" s="99">
        <v>10</v>
      </c>
      <c r="B41" s="95" t="s">
        <v>283</v>
      </c>
      <c r="C41" s="95" t="s">
        <v>298</v>
      </c>
      <c r="D41" s="95">
        <f>D35*0.025</f>
        <v>264.52007153023175</v>
      </c>
      <c r="E41" s="95">
        <f>E35*0.025</f>
        <v>93.60042731097252</v>
      </c>
      <c r="F41" s="95">
        <f>F35*0.025</f>
        <v>5.5549215021348672</v>
      </c>
      <c r="G41" s="95">
        <f>G35*0.025</f>
        <v>0</v>
      </c>
      <c r="H41" s="95">
        <f>SUM(D41:G41)</f>
        <v>363.67542034333911</v>
      </c>
    </row>
    <row r="42" spans="1:8" ht="15.6" x14ac:dyDescent="0.3">
      <c r="A42" s="95"/>
      <c r="B42" s="95"/>
      <c r="C42" s="102" t="s">
        <v>299</v>
      </c>
      <c r="D42" s="95">
        <f>D41</f>
        <v>264.52007153023175</v>
      </c>
      <c r="E42" s="95">
        <f>E41</f>
        <v>93.60042731097252</v>
      </c>
      <c r="F42" s="95">
        <f>F41</f>
        <v>5.5549215021348672</v>
      </c>
      <c r="G42" s="95">
        <f>G41</f>
        <v>0</v>
      </c>
      <c r="H42" s="102">
        <f>D42+E42+F42+G42</f>
        <v>363.67542034333911</v>
      </c>
    </row>
    <row r="43" spans="1:8" ht="15.6" x14ac:dyDescent="0.3">
      <c r="A43" s="201" t="s">
        <v>300</v>
      </c>
      <c r="B43" s="201"/>
      <c r="C43" s="201"/>
      <c r="D43" s="201"/>
      <c r="E43" s="201"/>
      <c r="F43" s="201"/>
      <c r="G43" s="201"/>
      <c r="H43" s="201"/>
    </row>
    <row r="44" spans="1:8" ht="15.6" x14ac:dyDescent="0.3">
      <c r="A44" s="99">
        <v>11</v>
      </c>
      <c r="B44" s="95" t="s">
        <v>283</v>
      </c>
      <c r="C44" s="95" t="s">
        <v>301</v>
      </c>
      <c r="D44" s="95">
        <f>D35*0.05</f>
        <v>529.04014306046349</v>
      </c>
      <c r="E44" s="95">
        <f>E35*0.05</f>
        <v>187.20085462194504</v>
      </c>
      <c r="F44" s="95">
        <f>F35*0.05</f>
        <v>11.109843004269734</v>
      </c>
      <c r="G44" s="95">
        <f>G35*0.05</f>
        <v>0</v>
      </c>
      <c r="H44" s="95">
        <f>SUM(D44:G44)</f>
        <v>727.35084068667823</v>
      </c>
    </row>
    <row r="45" spans="1:8" ht="15.6" x14ac:dyDescent="0.3">
      <c r="A45" s="95"/>
      <c r="B45" s="95"/>
      <c r="C45" s="102" t="s">
        <v>302</v>
      </c>
      <c r="D45" s="102">
        <f>D44</f>
        <v>529.04014306046349</v>
      </c>
      <c r="E45" s="102">
        <f>E44</f>
        <v>187.20085462194504</v>
      </c>
      <c r="F45" s="102">
        <f>F44</f>
        <v>11.109843004269734</v>
      </c>
      <c r="G45" s="102">
        <f>G44</f>
        <v>0</v>
      </c>
      <c r="H45" s="102">
        <f>H44</f>
        <v>727.35084068667823</v>
      </c>
    </row>
    <row r="46" spans="1:8" ht="15.6" x14ac:dyDescent="0.3">
      <c r="A46" s="201" t="s">
        <v>303</v>
      </c>
      <c r="B46" s="201"/>
      <c r="C46" s="201"/>
      <c r="D46" s="201"/>
      <c r="E46" s="201"/>
      <c r="F46" s="201"/>
      <c r="G46" s="201"/>
      <c r="H46" s="201"/>
    </row>
    <row r="47" spans="1:8" ht="15.6" x14ac:dyDescent="0.3">
      <c r="A47" s="99">
        <v>12</v>
      </c>
      <c r="B47" s="95" t="s">
        <v>283</v>
      </c>
      <c r="C47" s="103" t="s">
        <v>304</v>
      </c>
      <c r="D47" s="95">
        <f>D35*0.06</f>
        <v>634.84817167255619</v>
      </c>
      <c r="E47" s="95">
        <f>E35*0.06</f>
        <v>224.64102554633402</v>
      </c>
      <c r="F47" s="95">
        <f>F35*0.06</f>
        <v>13.331811605123679</v>
      </c>
      <c r="G47" s="95">
        <f>G35*0.06</f>
        <v>0</v>
      </c>
      <c r="H47" s="95">
        <f>SUM(D47:G47)</f>
        <v>872.82100882401392</v>
      </c>
    </row>
    <row r="48" spans="1:8" ht="15.6" x14ac:dyDescent="0.3">
      <c r="A48" s="95"/>
      <c r="B48" s="95"/>
      <c r="C48" s="102" t="s">
        <v>305</v>
      </c>
      <c r="D48" s="102">
        <f>D47</f>
        <v>634.84817167255619</v>
      </c>
      <c r="E48" s="102">
        <f>E47</f>
        <v>224.64102554633402</v>
      </c>
      <c r="F48" s="102">
        <f>F47</f>
        <v>13.331811605123679</v>
      </c>
      <c r="G48" s="102">
        <f>G47</f>
        <v>0</v>
      </c>
      <c r="H48" s="95">
        <f>H47</f>
        <v>872.82100882401392</v>
      </c>
    </row>
    <row r="49" spans="1:8" ht="15.6" x14ac:dyDescent="0.3">
      <c r="A49" s="201" t="s">
        <v>306</v>
      </c>
      <c r="B49" s="201"/>
      <c r="C49" s="201"/>
      <c r="D49" s="201"/>
      <c r="E49" s="201"/>
      <c r="F49" s="201"/>
      <c r="G49" s="201"/>
      <c r="H49" s="201"/>
    </row>
    <row r="50" spans="1:8" ht="15.6" x14ac:dyDescent="0.3">
      <c r="A50" s="99">
        <v>13</v>
      </c>
      <c r="B50" s="95" t="s">
        <v>283</v>
      </c>
      <c r="C50" s="95" t="s">
        <v>307</v>
      </c>
      <c r="D50" s="95">
        <f>D35*0.08</f>
        <v>846.46422889674159</v>
      </c>
      <c r="E50" s="95">
        <f>E35*0.08</f>
        <v>299.52136739511201</v>
      </c>
      <c r="F50" s="95">
        <f>F35*0.08</f>
        <v>17.775748806831572</v>
      </c>
      <c r="G50" s="95">
        <f>G35*0.08</f>
        <v>0</v>
      </c>
      <c r="H50" s="95">
        <f>SUM(D50:G50)</f>
        <v>1163.7613450986853</v>
      </c>
    </row>
    <row r="51" spans="1:8" ht="15.6" x14ac:dyDescent="0.3">
      <c r="A51" s="95"/>
      <c r="B51" s="95"/>
      <c r="C51" s="102" t="s">
        <v>308</v>
      </c>
      <c r="D51" s="102">
        <f>D50</f>
        <v>846.46422889674159</v>
      </c>
      <c r="E51" s="102">
        <f>E50</f>
        <v>299.52136739511201</v>
      </c>
      <c r="F51" s="102">
        <f>F50</f>
        <v>17.775748806831572</v>
      </c>
      <c r="G51" s="102">
        <f>G50</f>
        <v>0</v>
      </c>
      <c r="H51" s="102">
        <f>H50</f>
        <v>1163.7613450986853</v>
      </c>
    </row>
    <row r="52" spans="1:8" ht="15.6" x14ac:dyDescent="0.3">
      <c r="A52" s="95"/>
      <c r="B52" s="95"/>
      <c r="C52" s="102" t="s">
        <v>309</v>
      </c>
      <c r="D52" s="102">
        <f>D36+D39+D42+D45+D48+D51</f>
        <v>13173.099562205542</v>
      </c>
      <c r="E52" s="102">
        <f>E36+E39+E42+E45+E48+E51+E33</f>
        <v>4661.3012800864317</v>
      </c>
      <c r="F52" s="102">
        <f>F33+F36+F39+F42+F45+F48+F51</f>
        <v>276.63509080631638</v>
      </c>
      <c r="G52" s="102">
        <f>G33+G36+G39+G42+G45+G48+G51</f>
        <v>2436.8081505521436</v>
      </c>
      <c r="H52" s="102">
        <f>H33+H36+H39+H42+H45+H51</f>
        <v>19675.023074826418</v>
      </c>
    </row>
    <row r="53" spans="1:8" ht="15.6" x14ac:dyDescent="0.3">
      <c r="A53" s="201" t="s">
        <v>310</v>
      </c>
      <c r="B53" s="201"/>
      <c r="C53" s="201"/>
      <c r="D53" s="201"/>
      <c r="E53" s="201"/>
      <c r="F53" s="201"/>
      <c r="G53" s="201"/>
      <c r="H53" s="201"/>
    </row>
    <row r="54" spans="1:8" ht="15.6" x14ac:dyDescent="0.3">
      <c r="A54" s="99">
        <v>14</v>
      </c>
      <c r="B54" s="95" t="s">
        <v>283</v>
      </c>
      <c r="C54" s="95" t="s">
        <v>348</v>
      </c>
      <c r="D54" s="7">
        <f>'Объектная смета'!D34</f>
        <v>116.38883147330196</v>
      </c>
      <c r="E54" s="7">
        <f>'Объектная смета'!E34</f>
        <v>40.736091015655688</v>
      </c>
      <c r="F54" s="7">
        <f>'Объектная смета'!F34</f>
        <v>2.4441654609393413</v>
      </c>
      <c r="G54" s="7">
        <f>'Объектная смета'!G34</f>
        <v>0</v>
      </c>
      <c r="H54" s="7">
        <f>'Объектная смета'!H34</f>
        <v>142.1107632289017</v>
      </c>
    </row>
    <row r="55" spans="1:8" ht="15.6" x14ac:dyDescent="0.3">
      <c r="A55" s="95"/>
      <c r="B55" s="95"/>
      <c r="C55" s="102" t="s">
        <v>311</v>
      </c>
      <c r="D55" s="102">
        <f>D54</f>
        <v>116.38883147330196</v>
      </c>
      <c r="E55" s="102">
        <f>E54</f>
        <v>40.736091015655688</v>
      </c>
      <c r="F55" s="102">
        <f>F54</f>
        <v>2.4441654609393413</v>
      </c>
      <c r="G55" s="102">
        <f>G54</f>
        <v>0</v>
      </c>
      <c r="H55" s="102">
        <f>H54</f>
        <v>142.1107632289017</v>
      </c>
    </row>
    <row r="56" spans="1:8" ht="15.6" x14ac:dyDescent="0.3">
      <c r="A56" s="95"/>
      <c r="B56" s="95"/>
      <c r="C56" s="102" t="s">
        <v>312</v>
      </c>
      <c r="D56" s="102">
        <f>D55+D52</f>
        <v>13289.488393678843</v>
      </c>
      <c r="E56" s="102">
        <f>E55+E52</f>
        <v>4702.0373711020875</v>
      </c>
      <c r="F56" s="102">
        <f>F55+F52</f>
        <v>279.07925626725574</v>
      </c>
      <c r="G56" s="102">
        <f>G55+G52</f>
        <v>2436.8081505521436</v>
      </c>
      <c r="H56" s="102">
        <f>H55+H52</f>
        <v>19817.133838055321</v>
      </c>
    </row>
    <row r="57" spans="1:8" ht="15.6" x14ac:dyDescent="0.3">
      <c r="A57" s="201" t="s">
        <v>313</v>
      </c>
      <c r="B57" s="201"/>
      <c r="C57" s="201"/>
      <c r="D57" s="201"/>
      <c r="E57" s="201"/>
      <c r="F57" s="201"/>
      <c r="G57" s="201"/>
      <c r="H57" s="201"/>
    </row>
    <row r="58" spans="1:8" ht="31.2" x14ac:dyDescent="0.3">
      <c r="A58" s="99">
        <v>15</v>
      </c>
      <c r="B58" s="95" t="s">
        <v>181</v>
      </c>
      <c r="C58" s="95" t="s">
        <v>555</v>
      </c>
      <c r="D58" s="95">
        <f>'Объектная смета'!D36</f>
        <v>126.96963433451124</v>
      </c>
      <c r="E58" s="95">
        <f>'Объектная смета'!E36</f>
        <v>44.439372017078938</v>
      </c>
      <c r="F58" s="95">
        <f>'Объектная смета'!F36</f>
        <v>2.666362321024736</v>
      </c>
      <c r="G58" s="95">
        <f>'Объектная смета'!G36</f>
        <v>0</v>
      </c>
      <c r="H58" s="95">
        <f>'Объектная смета'!H36</f>
        <v>155.02992352243822</v>
      </c>
    </row>
    <row r="59" spans="1:8" ht="93.6" x14ac:dyDescent="0.3">
      <c r="A59" s="99">
        <v>16</v>
      </c>
      <c r="B59" s="95" t="s">
        <v>314</v>
      </c>
      <c r="C59" s="95" t="s">
        <v>315</v>
      </c>
      <c r="D59" s="95"/>
      <c r="E59" s="95"/>
      <c r="F59" s="95"/>
      <c r="G59" s="95">
        <f>H36*0.025</f>
        <v>363.67542034333911</v>
      </c>
      <c r="H59" s="95">
        <f t="shared" ref="H59:H64" si="0">G59</f>
        <v>363.67542034333911</v>
      </c>
    </row>
    <row r="60" spans="1:8" ht="62.4" x14ac:dyDescent="0.3">
      <c r="A60" s="99">
        <v>17</v>
      </c>
      <c r="B60" s="95" t="s">
        <v>316</v>
      </c>
      <c r="C60" s="95" t="s">
        <v>317</v>
      </c>
      <c r="D60" s="95"/>
      <c r="E60" s="95"/>
      <c r="F60" s="95"/>
      <c r="G60" s="95">
        <f>H36*0.001</f>
        <v>14.547016813733565</v>
      </c>
      <c r="H60" s="95">
        <f t="shared" si="0"/>
        <v>14.547016813733565</v>
      </c>
    </row>
    <row r="61" spans="1:8" ht="15.6" x14ac:dyDescent="0.3">
      <c r="A61" s="99">
        <v>18</v>
      </c>
      <c r="B61" s="95" t="s">
        <v>318</v>
      </c>
      <c r="C61" s="103" t="s">
        <v>319</v>
      </c>
      <c r="D61" s="95"/>
      <c r="E61" s="95"/>
      <c r="F61" s="95"/>
      <c r="G61" s="95">
        <f>H36*0.06</f>
        <v>872.8210088240138</v>
      </c>
      <c r="H61" s="95">
        <f t="shared" si="0"/>
        <v>872.8210088240138</v>
      </c>
    </row>
    <row r="62" spans="1:8" ht="46.8" x14ac:dyDescent="0.3">
      <c r="A62" s="99">
        <v>19</v>
      </c>
      <c r="B62" s="95" t="s">
        <v>320</v>
      </c>
      <c r="C62" s="95" t="s">
        <v>321</v>
      </c>
      <c r="D62" s="95"/>
      <c r="E62" s="95"/>
      <c r="F62" s="95"/>
      <c r="G62" s="95">
        <f>H36*0.01</f>
        <v>145.47016813733563</v>
      </c>
      <c r="H62" s="95">
        <f t="shared" si="0"/>
        <v>145.47016813733563</v>
      </c>
    </row>
    <row r="63" spans="1:8" ht="46.8" x14ac:dyDescent="0.3">
      <c r="A63" s="99">
        <v>20</v>
      </c>
      <c r="B63" s="104" t="s">
        <v>322</v>
      </c>
      <c r="C63" s="95" t="s">
        <v>323</v>
      </c>
      <c r="D63" s="95"/>
      <c r="E63" s="95"/>
      <c r="F63" s="95"/>
      <c r="G63" s="95">
        <f>H36*0.02</f>
        <v>290.94033627467127</v>
      </c>
      <c r="H63" s="95">
        <f t="shared" si="0"/>
        <v>290.94033627467127</v>
      </c>
    </row>
    <row r="64" spans="1:8" ht="31.2" x14ac:dyDescent="0.3">
      <c r="A64" s="99">
        <v>21</v>
      </c>
      <c r="B64" s="95" t="s">
        <v>324</v>
      </c>
      <c r="C64" s="95" t="s">
        <v>325</v>
      </c>
      <c r="D64" s="95"/>
      <c r="E64" s="95"/>
      <c r="F64" s="95"/>
      <c r="G64" s="95">
        <f>(D56+E56)*0.02</f>
        <v>359.83051529561862</v>
      </c>
      <c r="H64" s="95">
        <f t="shared" si="0"/>
        <v>359.83051529561862</v>
      </c>
    </row>
    <row r="65" spans="1:8" ht="15.6" x14ac:dyDescent="0.3">
      <c r="A65" s="95"/>
      <c r="B65" s="95"/>
      <c r="C65" s="102" t="s">
        <v>326</v>
      </c>
      <c r="D65" s="102">
        <f>SUM(D58:D64)</f>
        <v>126.96963433451124</v>
      </c>
      <c r="E65" s="102">
        <f>E58</f>
        <v>44.439372017078938</v>
      </c>
      <c r="F65" s="102">
        <f>F58</f>
        <v>2.666362321024736</v>
      </c>
      <c r="G65" s="102">
        <f>SUM(G58:G64)</f>
        <v>2047.2844656887119</v>
      </c>
      <c r="H65" s="102">
        <f>SUM(H58:H64)</f>
        <v>2202.3143892111502</v>
      </c>
    </row>
    <row r="66" spans="1:8" ht="15.6" x14ac:dyDescent="0.3">
      <c r="A66" s="95"/>
      <c r="B66" s="95"/>
      <c r="C66" s="102" t="s">
        <v>327</v>
      </c>
      <c r="D66" s="102">
        <f>D56+D65</f>
        <v>13416.458028013354</v>
      </c>
      <c r="E66" s="102">
        <f>E56+E65</f>
        <v>4746.4767431191667</v>
      </c>
      <c r="F66" s="102">
        <f>F56+F65</f>
        <v>281.74561858828048</v>
      </c>
      <c r="G66" s="102">
        <f>G56+G65</f>
        <v>4484.0926162408559</v>
      </c>
      <c r="H66" s="102">
        <f>SUM(D66:G66)</f>
        <v>22928.773005961659</v>
      </c>
    </row>
    <row r="67" spans="1:8" ht="15.6" x14ac:dyDescent="0.3">
      <c r="A67" s="201" t="s">
        <v>328</v>
      </c>
      <c r="B67" s="201"/>
      <c r="C67" s="201"/>
      <c r="D67" s="201"/>
      <c r="E67" s="201"/>
      <c r="F67" s="201"/>
      <c r="G67" s="201"/>
      <c r="H67" s="201"/>
    </row>
    <row r="68" spans="1:8" ht="31.2" x14ac:dyDescent="0.3">
      <c r="A68" s="99">
        <v>22</v>
      </c>
      <c r="B68" s="95" t="s">
        <v>329</v>
      </c>
      <c r="C68" s="95" t="s">
        <v>330</v>
      </c>
      <c r="D68" s="95">
        <v>0</v>
      </c>
      <c r="E68" s="95">
        <v>0</v>
      </c>
      <c r="F68" s="95">
        <v>0</v>
      </c>
      <c r="G68" s="95">
        <f>D66*0.0098</f>
        <v>131.48128867453087</v>
      </c>
      <c r="H68" s="95">
        <f>G68</f>
        <v>131.48128867453087</v>
      </c>
    </row>
    <row r="69" spans="1:8" ht="31.2" x14ac:dyDescent="0.3">
      <c r="A69" s="99">
        <v>23</v>
      </c>
      <c r="B69" s="95" t="s">
        <v>320</v>
      </c>
      <c r="C69" s="95" t="s">
        <v>331</v>
      </c>
      <c r="D69" s="95">
        <v>0</v>
      </c>
      <c r="E69" s="95">
        <v>0</v>
      </c>
      <c r="F69" s="95">
        <v>0</v>
      </c>
      <c r="G69" s="95">
        <f>G66*0.007</f>
        <v>31.388648313685991</v>
      </c>
      <c r="H69" s="95">
        <f>G69</f>
        <v>31.388648313685991</v>
      </c>
    </row>
    <row r="70" spans="1:8" ht="15.6" x14ac:dyDescent="0.3">
      <c r="A70" s="95"/>
      <c r="B70" s="95"/>
      <c r="C70" s="102" t="s">
        <v>332</v>
      </c>
      <c r="D70" s="102">
        <f>D68+D69</f>
        <v>0</v>
      </c>
      <c r="E70" s="102">
        <f>E68+E69</f>
        <v>0</v>
      </c>
      <c r="F70" s="102">
        <f>F68+F69</f>
        <v>0</v>
      </c>
      <c r="G70" s="102">
        <f>G68+G69</f>
        <v>162.86993698821686</v>
      </c>
      <c r="H70" s="102">
        <f>H68+H69</f>
        <v>162.86993698821686</v>
      </c>
    </row>
    <row r="71" spans="1:8" ht="15.6" x14ac:dyDescent="0.3">
      <c r="A71" s="201" t="s">
        <v>333</v>
      </c>
      <c r="B71" s="201"/>
      <c r="C71" s="201"/>
      <c r="D71" s="201"/>
      <c r="E71" s="201"/>
      <c r="F71" s="201"/>
      <c r="G71" s="201"/>
      <c r="H71" s="201"/>
    </row>
    <row r="72" spans="1:8" ht="31.2" x14ac:dyDescent="0.3">
      <c r="A72" s="99">
        <v>24</v>
      </c>
      <c r="B72" s="95" t="s">
        <v>320</v>
      </c>
      <c r="C72" s="95" t="s">
        <v>334</v>
      </c>
      <c r="D72" s="95">
        <v>0</v>
      </c>
      <c r="E72" s="95">
        <v>0</v>
      </c>
      <c r="F72" s="95">
        <v>0</v>
      </c>
      <c r="G72" s="95">
        <f>H36*0.07</f>
        <v>1018.2911769613496</v>
      </c>
      <c r="H72" s="95">
        <f>D72+E72+F72+G72</f>
        <v>1018.2911769613496</v>
      </c>
    </row>
    <row r="73" spans="1:8" ht="15.6" x14ac:dyDescent="0.3">
      <c r="A73" s="95"/>
      <c r="B73" s="95"/>
      <c r="C73" s="102" t="s">
        <v>335</v>
      </c>
      <c r="D73" s="102">
        <f>D72</f>
        <v>0</v>
      </c>
      <c r="E73" s="102">
        <f>E72</f>
        <v>0</v>
      </c>
      <c r="F73" s="102">
        <f>F72</f>
        <v>0</v>
      </c>
      <c r="G73" s="102">
        <f>G72</f>
        <v>1018.2911769613496</v>
      </c>
      <c r="H73" s="102">
        <f>D73+E73+F73+G73</f>
        <v>1018.2911769613496</v>
      </c>
    </row>
    <row r="74" spans="1:8" ht="15.6" x14ac:dyDescent="0.3">
      <c r="A74" s="201" t="s">
        <v>336</v>
      </c>
      <c r="B74" s="201"/>
      <c r="C74" s="201"/>
      <c r="D74" s="201"/>
      <c r="E74" s="201"/>
      <c r="F74" s="201"/>
      <c r="G74" s="201"/>
      <c r="H74" s="201"/>
    </row>
    <row r="75" spans="1:8" ht="15.6" x14ac:dyDescent="0.3">
      <c r="A75" s="99">
        <v>25</v>
      </c>
      <c r="B75" s="103" t="s">
        <v>337</v>
      </c>
      <c r="C75" s="95" t="s">
        <v>338</v>
      </c>
      <c r="D75" s="95"/>
      <c r="E75" s="95"/>
      <c r="F75" s="95"/>
      <c r="G75" s="95">
        <f>H36*0.12</f>
        <v>1745.6420176480276</v>
      </c>
      <c r="H75" s="95">
        <f>D75+E75+F75+G75</f>
        <v>1745.6420176480276</v>
      </c>
    </row>
    <row r="76" spans="1:8" ht="15.6" x14ac:dyDescent="0.3">
      <c r="A76" s="99">
        <v>26</v>
      </c>
      <c r="B76" s="103" t="s">
        <v>337</v>
      </c>
      <c r="C76" s="95" t="s">
        <v>339</v>
      </c>
      <c r="D76" s="95"/>
      <c r="E76" s="95"/>
      <c r="F76" s="95"/>
      <c r="G76" s="95">
        <f>H36*0.12</f>
        <v>1745.6420176480276</v>
      </c>
      <c r="H76" s="95">
        <f>D76+E76+F76+G76</f>
        <v>1745.6420176480276</v>
      </c>
    </row>
    <row r="77" spans="1:8" ht="31.2" x14ac:dyDescent="0.3">
      <c r="A77" s="99">
        <v>27</v>
      </c>
      <c r="B77" s="95" t="s">
        <v>340</v>
      </c>
      <c r="C77" s="95" t="s">
        <v>341</v>
      </c>
      <c r="D77" s="95"/>
      <c r="E77" s="95"/>
      <c r="F77" s="95"/>
      <c r="G77" s="95">
        <f>H66*0.002</f>
        <v>45.857546011923318</v>
      </c>
      <c r="H77" s="95">
        <f>D77+E77+F77+G77</f>
        <v>45.857546011923318</v>
      </c>
    </row>
    <row r="78" spans="1:8" ht="31.2" x14ac:dyDescent="0.3">
      <c r="A78" s="99">
        <v>28</v>
      </c>
      <c r="B78" s="95" t="s">
        <v>337</v>
      </c>
      <c r="C78" s="95" t="s">
        <v>342</v>
      </c>
      <c r="D78" s="95"/>
      <c r="E78" s="95"/>
      <c r="F78" s="95"/>
      <c r="G78" s="95">
        <f>H36*0.03</f>
        <v>436.4105044120069</v>
      </c>
      <c r="H78" s="95">
        <f>D78+E78+F78+G78</f>
        <v>436.4105044120069</v>
      </c>
    </row>
    <row r="79" spans="1:8" ht="15.6" x14ac:dyDescent="0.3">
      <c r="A79" s="95"/>
      <c r="B79" s="95"/>
      <c r="C79" s="102" t="s">
        <v>343</v>
      </c>
      <c r="D79" s="102">
        <f>D75+D76+D77+D78</f>
        <v>0</v>
      </c>
      <c r="E79" s="102">
        <f>E75+E76+E77+E78</f>
        <v>0</v>
      </c>
      <c r="F79" s="102">
        <f>F75+F76+F77+F78</f>
        <v>0</v>
      </c>
      <c r="G79" s="102">
        <f>G75+G76+G77+G78</f>
        <v>3973.5520857199854</v>
      </c>
      <c r="H79" s="102">
        <f>H75+H76+H77+H78</f>
        <v>3973.5520857199854</v>
      </c>
    </row>
    <row r="80" spans="1:8" ht="15.6" x14ac:dyDescent="0.3">
      <c r="A80" s="95"/>
      <c r="B80" s="95"/>
      <c r="C80" s="102" t="s">
        <v>344</v>
      </c>
      <c r="D80" s="102">
        <f>D66+D70+D73+D79</f>
        <v>13416.458028013354</v>
      </c>
      <c r="E80" s="102">
        <f>E66+E70+E73+E79</f>
        <v>4746.4767431191667</v>
      </c>
      <c r="F80" s="102">
        <f>F66+F70+F73+F79</f>
        <v>281.74561858828048</v>
      </c>
      <c r="G80" s="102">
        <f>G66+G70+G73+G79</f>
        <v>9638.8058159104075</v>
      </c>
      <c r="H80" s="102">
        <f>H66+H70+H73+H79</f>
        <v>28083.486205631209</v>
      </c>
    </row>
    <row r="81" spans="1:8" ht="15.6" x14ac:dyDescent="0.3">
      <c r="A81" s="95"/>
      <c r="B81" s="95"/>
      <c r="C81" s="102" t="s">
        <v>345</v>
      </c>
      <c r="D81" s="102">
        <f>D79+D80</f>
        <v>13416.458028013354</v>
      </c>
      <c r="E81" s="102">
        <f>E79+E80</f>
        <v>4746.4767431191667</v>
      </c>
      <c r="F81" s="102">
        <f>F79+F80</f>
        <v>281.74561858828048</v>
      </c>
      <c r="G81" s="102">
        <f>G79+G80</f>
        <v>13612.357901630392</v>
      </c>
      <c r="H81" s="102">
        <f>H79+H80</f>
        <v>32057.038291351193</v>
      </c>
    </row>
    <row r="82" spans="1:8" ht="15.6" x14ac:dyDescent="0.3">
      <c r="A82" s="95"/>
      <c r="B82" s="95"/>
      <c r="C82" s="95" t="s">
        <v>346</v>
      </c>
      <c r="D82" s="95">
        <f>D81*0.2</f>
        <v>2683.2916056026711</v>
      </c>
      <c r="E82" s="95">
        <f>E81*0.2</f>
        <v>949.29534862383343</v>
      </c>
      <c r="F82" s="95">
        <f>F81*0.2</f>
        <v>56.349123717656099</v>
      </c>
      <c r="G82" s="95">
        <f>G81*0.2</f>
        <v>2722.4715803260788</v>
      </c>
      <c r="H82" s="95">
        <f>H81*0.2</f>
        <v>6411.4076582702392</v>
      </c>
    </row>
    <row r="83" spans="1:8" ht="15.6" x14ac:dyDescent="0.3">
      <c r="A83" s="95"/>
      <c r="B83" s="95"/>
      <c r="C83" s="102" t="s">
        <v>347</v>
      </c>
      <c r="D83" s="102">
        <f>D81+D82</f>
        <v>16099.749633616026</v>
      </c>
      <c r="E83" s="102">
        <f>E81+E82</f>
        <v>5695.7720917429997</v>
      </c>
      <c r="F83" s="102">
        <f>F81+F82</f>
        <v>338.09474230593656</v>
      </c>
      <c r="G83" s="102">
        <f>G81+G82</f>
        <v>16334.829481956471</v>
      </c>
      <c r="H83" s="102">
        <f>H81+H82</f>
        <v>38468.445949621433</v>
      </c>
    </row>
    <row r="84" spans="1:8" ht="15.6" x14ac:dyDescent="0.3">
      <c r="A84" s="29"/>
      <c r="B84" s="29"/>
      <c r="C84" s="29"/>
      <c r="D84" s="29"/>
      <c r="E84" s="29"/>
      <c r="F84" s="29"/>
      <c r="G84" s="29"/>
      <c r="H84" s="29"/>
    </row>
    <row r="85" spans="1:8" ht="15.6" x14ac:dyDescent="0.3">
      <c r="A85" s="29"/>
      <c r="B85" s="29"/>
      <c r="C85" s="29"/>
      <c r="D85" s="29"/>
      <c r="E85" s="29"/>
      <c r="F85" s="29"/>
      <c r="G85" s="29"/>
      <c r="H85" s="29"/>
    </row>
    <row r="86" spans="1:8" ht="15.6" x14ac:dyDescent="0.3">
      <c r="A86" s="202"/>
      <c r="B86" s="202"/>
      <c r="C86" s="202"/>
      <c r="D86" s="203"/>
      <c r="E86" s="203"/>
      <c r="F86" s="203"/>
      <c r="G86" s="29"/>
      <c r="H86" s="29"/>
    </row>
    <row r="87" spans="1:8" ht="15.6" x14ac:dyDescent="0.3">
      <c r="A87" s="29"/>
      <c r="B87" s="29"/>
      <c r="C87" s="29"/>
      <c r="D87" s="202"/>
      <c r="E87" s="202"/>
      <c r="F87" s="202"/>
      <c r="G87" s="29"/>
      <c r="H87" s="29"/>
    </row>
    <row r="88" spans="1:8" ht="15.6" x14ac:dyDescent="0.3">
      <c r="A88" s="202"/>
      <c r="B88" s="202"/>
      <c r="C88" s="202"/>
      <c r="D88" s="203"/>
      <c r="E88" s="203"/>
      <c r="F88" s="203"/>
      <c r="G88" s="29"/>
      <c r="H88" s="29"/>
    </row>
    <row r="89" spans="1:8" ht="15.6" x14ac:dyDescent="0.3">
      <c r="A89" s="29"/>
      <c r="B89" s="29"/>
      <c r="C89" s="29"/>
      <c r="D89" s="202"/>
      <c r="E89" s="202"/>
      <c r="F89" s="202"/>
      <c r="G89" s="29"/>
      <c r="H89" s="29"/>
    </row>
    <row r="90" spans="1:8" ht="15.6" x14ac:dyDescent="0.3">
      <c r="A90" s="202"/>
      <c r="B90" s="202"/>
      <c r="C90" s="202"/>
      <c r="D90" s="203"/>
      <c r="E90" s="203"/>
      <c r="F90" s="203"/>
      <c r="G90" s="29"/>
      <c r="H90" s="29"/>
    </row>
    <row r="91" spans="1:8" ht="15.6" x14ac:dyDescent="0.3">
      <c r="A91" s="29"/>
      <c r="B91" s="204"/>
      <c r="C91" s="204"/>
      <c r="D91" s="202"/>
      <c r="E91" s="202"/>
      <c r="F91" s="202"/>
      <c r="G91" s="29"/>
      <c r="H91" s="29"/>
    </row>
    <row r="92" spans="1:8" ht="15.6" x14ac:dyDescent="0.3">
      <c r="A92" s="202"/>
      <c r="B92" s="202"/>
      <c r="C92" s="203"/>
      <c r="D92" s="203"/>
      <c r="E92" s="203"/>
      <c r="F92" s="203"/>
      <c r="G92" s="29"/>
      <c r="H92" s="29"/>
    </row>
    <row r="93" spans="1:8" ht="15.6" x14ac:dyDescent="0.3">
      <c r="A93" s="29"/>
      <c r="B93" s="29"/>
      <c r="C93" s="204"/>
      <c r="D93" s="204"/>
      <c r="E93" s="204"/>
      <c r="F93" s="204"/>
      <c r="G93" s="29"/>
      <c r="H93" s="29"/>
    </row>
  </sheetData>
  <mergeCells count="45">
    <mergeCell ref="A92:B92"/>
    <mergeCell ref="C92:F92"/>
    <mergeCell ref="C93:F93"/>
    <mergeCell ref="D89:F89"/>
    <mergeCell ref="A90:C90"/>
    <mergeCell ref="D90:F90"/>
    <mergeCell ref="B91:C91"/>
    <mergeCell ref="D91:F91"/>
    <mergeCell ref="A86:C86"/>
    <mergeCell ref="D86:F86"/>
    <mergeCell ref="D87:F87"/>
    <mergeCell ref="A88:C88"/>
    <mergeCell ref="D88:F88"/>
    <mergeCell ref="A57:H57"/>
    <mergeCell ref="A67:H67"/>
    <mergeCell ref="A71:H71"/>
    <mergeCell ref="A74:H74"/>
    <mergeCell ref="A53:H53"/>
    <mergeCell ref="E21:E23"/>
    <mergeCell ref="F21:F23"/>
    <mergeCell ref="G21:G23"/>
    <mergeCell ref="A25:H25"/>
    <mergeCell ref="A49:H49"/>
    <mergeCell ref="A37:H37"/>
    <mergeCell ref="A40:H40"/>
    <mergeCell ref="A43:H43"/>
    <mergeCell ref="A46:H46"/>
    <mergeCell ref="A34:H34"/>
    <mergeCell ref="A20:A23"/>
    <mergeCell ref="B20:B23"/>
    <mergeCell ref="C20:C23"/>
    <mergeCell ref="D20:G20"/>
    <mergeCell ref="H20:H23"/>
    <mergeCell ref="D21:D23"/>
    <mergeCell ref="A11:H11"/>
    <mergeCell ref="A13:H13"/>
    <mergeCell ref="A15:H15"/>
    <mergeCell ref="A16:H16"/>
    <mergeCell ref="A18:C18"/>
    <mergeCell ref="A8:C8"/>
    <mergeCell ref="A1:C1"/>
    <mergeCell ref="A3:B3"/>
    <mergeCell ref="C3:H3"/>
    <mergeCell ref="C4:G4"/>
    <mergeCell ref="A6:B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horizontalDpi="300" verticalDpi="300" r:id="rId1"/>
  <headerFooter>
    <oddHeader xml:space="preserve">&amp;LПриложение №3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6"/>
  <sheetViews>
    <sheetView zoomScale="85" zoomScaleNormal="85" workbookViewId="0">
      <selection activeCell="C99" sqref="C99"/>
    </sheetView>
  </sheetViews>
  <sheetFormatPr defaultRowHeight="14.4" x14ac:dyDescent="0.3"/>
  <cols>
    <col min="1" max="1" width="12" bestFit="1" customWidth="1"/>
    <col min="2" max="2" width="23.21875" bestFit="1" customWidth="1"/>
    <col min="3" max="3" width="40.21875" customWidth="1"/>
    <col min="4" max="4" width="8.21875" bestFit="1" customWidth="1"/>
    <col min="5" max="5" width="8.109375" bestFit="1" customWidth="1"/>
    <col min="6" max="6" width="8.21875" bestFit="1" customWidth="1"/>
    <col min="7" max="7" width="8.33203125" bestFit="1" customWidth="1"/>
    <col min="8" max="8" width="15.6640625" customWidth="1"/>
    <col min="9" max="9" width="11.6640625" bestFit="1" customWidth="1"/>
    <col min="11" max="11" width="11.109375" customWidth="1"/>
    <col min="12" max="12" width="9.77734375" bestFit="1" customWidth="1"/>
  </cols>
  <sheetData>
    <row r="1" spans="1:16" ht="63" thickBot="1" x14ac:dyDescent="0.35">
      <c r="A1" s="105" t="s">
        <v>350</v>
      </c>
      <c r="B1" s="45" t="s">
        <v>269</v>
      </c>
      <c r="C1" s="106"/>
      <c r="D1" s="106"/>
      <c r="E1" s="106"/>
      <c r="F1" s="106"/>
      <c r="G1" s="106"/>
      <c r="H1" s="106"/>
    </row>
    <row r="2" spans="1:16" ht="15.6" x14ac:dyDescent="0.3">
      <c r="A2" s="107"/>
      <c r="B2" s="108"/>
      <c r="C2" s="107"/>
      <c r="D2" s="107"/>
      <c r="E2" s="107"/>
      <c r="F2" s="107"/>
      <c r="G2" s="107"/>
      <c r="H2" s="107"/>
    </row>
    <row r="3" spans="1:16" ht="78" x14ac:dyDescent="0.3">
      <c r="A3" s="50" t="s">
        <v>351</v>
      </c>
      <c r="B3" s="50" t="s">
        <v>352</v>
      </c>
      <c r="C3" s="50" t="s">
        <v>19</v>
      </c>
      <c r="D3" s="50" t="s">
        <v>353</v>
      </c>
      <c r="E3" s="19" t="s">
        <v>354</v>
      </c>
      <c r="F3" s="50" t="s">
        <v>355</v>
      </c>
      <c r="G3" s="50" t="s">
        <v>356</v>
      </c>
      <c r="H3" s="50" t="s">
        <v>357</v>
      </c>
    </row>
    <row r="4" spans="1:16" ht="15.6" x14ac:dyDescent="0.3">
      <c r="A4" s="50">
        <v>1</v>
      </c>
      <c r="B4" s="50">
        <v>2</v>
      </c>
      <c r="C4" s="50">
        <v>3</v>
      </c>
      <c r="D4" s="50">
        <v>4</v>
      </c>
      <c r="E4" s="50">
        <v>5</v>
      </c>
      <c r="F4" s="50">
        <v>6</v>
      </c>
      <c r="G4" s="50">
        <v>7</v>
      </c>
      <c r="H4" s="50">
        <v>8</v>
      </c>
    </row>
    <row r="5" spans="1:16" ht="15.6" x14ac:dyDescent="0.3">
      <c r="A5" s="131"/>
      <c r="B5" s="131"/>
      <c r="C5" s="205" t="s">
        <v>358</v>
      </c>
      <c r="D5" s="205"/>
      <c r="E5" s="205"/>
      <c r="F5" s="205"/>
      <c r="G5" s="205"/>
      <c r="H5" s="205"/>
      <c r="P5" s="69"/>
    </row>
    <row r="6" spans="1:16" ht="15.6" customHeight="1" x14ac:dyDescent="0.3">
      <c r="A6" s="19">
        <v>2</v>
      </c>
      <c r="B6" s="19" t="s">
        <v>47</v>
      </c>
      <c r="C6" s="19" t="s">
        <v>616</v>
      </c>
      <c r="D6" s="50">
        <v>37.76</v>
      </c>
      <c r="E6" s="50" t="s">
        <v>617</v>
      </c>
      <c r="F6" s="19">
        <v>11.04</v>
      </c>
      <c r="G6" s="19">
        <v>9.5299999999999994</v>
      </c>
      <c r="H6" s="52">
        <f>D6*F6*G6</f>
        <v>3972.7749119999994</v>
      </c>
      <c r="P6" s="69"/>
    </row>
    <row r="7" spans="1:16" ht="15.6" x14ac:dyDescent="0.3">
      <c r="A7" s="19">
        <v>3</v>
      </c>
      <c r="B7" s="94" t="s">
        <v>618</v>
      </c>
      <c r="C7" s="19" t="s">
        <v>616</v>
      </c>
      <c r="D7" s="50">
        <v>37.76</v>
      </c>
      <c r="E7" s="50" t="s">
        <v>617</v>
      </c>
      <c r="F7" s="50">
        <v>32.340000000000003</v>
      </c>
      <c r="G7" s="19">
        <v>9.5299999999999994</v>
      </c>
      <c r="H7" s="52">
        <f t="shared" ref="H7:H51" si="0">D7*F7*G7</f>
        <v>11637.639551999999</v>
      </c>
    </row>
    <row r="8" spans="1:16" ht="15.6" x14ac:dyDescent="0.3">
      <c r="A8" s="19">
        <v>4</v>
      </c>
      <c r="B8" s="19" t="s">
        <v>619</v>
      </c>
      <c r="C8" s="19" t="s">
        <v>637</v>
      </c>
      <c r="D8" s="50">
        <v>37.76</v>
      </c>
      <c r="E8" s="50" t="s">
        <v>617</v>
      </c>
      <c r="F8" s="50">
        <v>34.96</v>
      </c>
      <c r="G8" s="50">
        <v>9.98</v>
      </c>
      <c r="H8" s="52">
        <f t="shared" si="0"/>
        <v>13174.494208</v>
      </c>
    </row>
    <row r="9" spans="1:16" ht="15.6" x14ac:dyDescent="0.3">
      <c r="A9" s="19">
        <v>5</v>
      </c>
      <c r="B9" s="19" t="s">
        <v>620</v>
      </c>
      <c r="C9" s="19" t="s">
        <v>638</v>
      </c>
      <c r="D9" s="50">
        <v>37.76</v>
      </c>
      <c r="E9" s="50" t="s">
        <v>617</v>
      </c>
      <c r="F9" s="50">
        <v>14.6</v>
      </c>
      <c r="G9" s="50">
        <v>10.83</v>
      </c>
      <c r="H9" s="52">
        <f t="shared" si="0"/>
        <v>5970.535679999999</v>
      </c>
    </row>
    <row r="10" spans="1:16" ht="15.6" x14ac:dyDescent="0.3">
      <c r="A10" s="50">
        <v>6</v>
      </c>
      <c r="B10" s="19" t="s">
        <v>621</v>
      </c>
      <c r="C10" s="19" t="s">
        <v>639</v>
      </c>
      <c r="D10" s="50">
        <v>37.76</v>
      </c>
      <c r="E10" s="50" t="s">
        <v>617</v>
      </c>
      <c r="F10" s="50">
        <v>37.61</v>
      </c>
      <c r="G10" s="50">
        <v>11.1</v>
      </c>
      <c r="H10" s="52">
        <f t="shared" si="0"/>
        <v>15763.704959999997</v>
      </c>
    </row>
    <row r="11" spans="1:16" ht="15.6" x14ac:dyDescent="0.3">
      <c r="A11" s="50">
        <v>7</v>
      </c>
      <c r="B11" s="19" t="s">
        <v>620</v>
      </c>
      <c r="C11" s="19" t="s">
        <v>638</v>
      </c>
      <c r="D11" s="50">
        <v>37.76</v>
      </c>
      <c r="E11" s="50" t="s">
        <v>617</v>
      </c>
      <c r="F11" s="50">
        <v>23.81</v>
      </c>
      <c r="G11" s="50">
        <v>10.83</v>
      </c>
      <c r="H11" s="52">
        <f t="shared" si="0"/>
        <v>9736.8804479999999</v>
      </c>
    </row>
    <row r="12" spans="1:16" ht="15.6" x14ac:dyDescent="0.3">
      <c r="A12" s="50">
        <v>8</v>
      </c>
      <c r="B12" s="19" t="s">
        <v>621</v>
      </c>
      <c r="C12" s="19" t="s">
        <v>639</v>
      </c>
      <c r="D12" s="50">
        <v>37.76</v>
      </c>
      <c r="E12" s="50" t="s">
        <v>617</v>
      </c>
      <c r="F12" s="50">
        <v>37.61</v>
      </c>
      <c r="G12" s="50">
        <v>11.1</v>
      </c>
      <c r="H12" s="52">
        <f t="shared" si="0"/>
        <v>15763.704959999997</v>
      </c>
    </row>
    <row r="13" spans="1:16" ht="15.6" x14ac:dyDescent="0.3">
      <c r="A13" s="50">
        <v>9</v>
      </c>
      <c r="B13" s="19" t="s">
        <v>409</v>
      </c>
      <c r="C13" s="19" t="s">
        <v>638</v>
      </c>
      <c r="D13" s="50">
        <v>37.76</v>
      </c>
      <c r="E13" s="50" t="s">
        <v>617</v>
      </c>
      <c r="F13" s="50">
        <v>16.95</v>
      </c>
      <c r="G13" s="50">
        <v>10.83</v>
      </c>
      <c r="H13" s="52">
        <f t="shared" si="0"/>
        <v>6931.5465599999989</v>
      </c>
    </row>
    <row r="14" spans="1:16" ht="15.6" x14ac:dyDescent="0.3">
      <c r="A14" s="50">
        <v>10</v>
      </c>
      <c r="B14" s="19" t="s">
        <v>622</v>
      </c>
      <c r="C14" s="19" t="s">
        <v>640</v>
      </c>
      <c r="D14" s="50">
        <v>37.76</v>
      </c>
      <c r="E14" s="50" t="s">
        <v>617</v>
      </c>
      <c r="F14" s="50">
        <v>37.369999999999997</v>
      </c>
      <c r="G14" s="50">
        <v>10.56</v>
      </c>
      <c r="H14" s="52">
        <f t="shared" si="0"/>
        <v>14901.123071999999</v>
      </c>
    </row>
    <row r="15" spans="1:16" ht="15.6" x14ac:dyDescent="0.3">
      <c r="A15" s="50">
        <v>11</v>
      </c>
      <c r="B15" s="19" t="s">
        <v>623</v>
      </c>
      <c r="C15" s="19" t="s">
        <v>641</v>
      </c>
      <c r="D15" s="50">
        <v>37.76</v>
      </c>
      <c r="E15" s="50" t="s">
        <v>617</v>
      </c>
      <c r="F15" s="50">
        <v>40.11</v>
      </c>
      <c r="G15" s="50">
        <v>10.25</v>
      </c>
      <c r="H15" s="52">
        <f t="shared" si="0"/>
        <v>15524.1744</v>
      </c>
    </row>
    <row r="16" spans="1:16" ht="15.6" x14ac:dyDescent="0.3">
      <c r="A16" s="50">
        <v>12</v>
      </c>
      <c r="B16" s="19" t="s">
        <v>624</v>
      </c>
      <c r="C16" s="19" t="s">
        <v>642</v>
      </c>
      <c r="D16" s="50">
        <v>37.76</v>
      </c>
      <c r="E16" s="50" t="s">
        <v>617</v>
      </c>
      <c r="F16" s="50">
        <v>33.71</v>
      </c>
      <c r="G16" s="50">
        <v>13.78</v>
      </c>
      <c r="H16" s="52">
        <f t="shared" si="0"/>
        <v>17540.418687999998</v>
      </c>
    </row>
    <row r="17" spans="1:8" ht="15.6" x14ac:dyDescent="0.3">
      <c r="A17" s="50">
        <v>13</v>
      </c>
      <c r="B17" s="19" t="s">
        <v>521</v>
      </c>
      <c r="C17" s="19" t="s">
        <v>643</v>
      </c>
      <c r="D17" s="50">
        <v>37.76</v>
      </c>
      <c r="E17" s="50" t="s">
        <v>617</v>
      </c>
      <c r="F17" s="50">
        <v>20.72</v>
      </c>
      <c r="G17" s="50">
        <v>10.97</v>
      </c>
      <c r="H17" s="52">
        <f t="shared" si="0"/>
        <v>8582.7875839999997</v>
      </c>
    </row>
    <row r="18" spans="1:8" ht="15.6" x14ac:dyDescent="0.3">
      <c r="A18" s="50">
        <v>14</v>
      </c>
      <c r="B18" s="19" t="s">
        <v>625</v>
      </c>
      <c r="C18" s="19" t="s">
        <v>644</v>
      </c>
      <c r="D18" s="50">
        <v>37.76</v>
      </c>
      <c r="E18" s="50" t="s">
        <v>617</v>
      </c>
      <c r="F18" s="50">
        <v>80.599999999999994</v>
      </c>
      <c r="G18" s="50">
        <v>9.7100000000000009</v>
      </c>
      <c r="H18" s="52">
        <f t="shared" si="0"/>
        <v>29551.957760000001</v>
      </c>
    </row>
    <row r="19" spans="1:8" ht="15.6" x14ac:dyDescent="0.3">
      <c r="A19" s="50">
        <v>15</v>
      </c>
      <c r="B19" s="19" t="s">
        <v>626</v>
      </c>
      <c r="C19" s="19" t="s">
        <v>645</v>
      </c>
      <c r="D19" s="50">
        <v>37.76</v>
      </c>
      <c r="E19" s="50" t="s">
        <v>617</v>
      </c>
      <c r="F19" s="50">
        <v>73.349999999999994</v>
      </c>
      <c r="G19" s="50">
        <v>11.64</v>
      </c>
      <c r="H19" s="52">
        <f t="shared" si="0"/>
        <v>32239.261439999995</v>
      </c>
    </row>
    <row r="20" spans="1:8" ht="15.6" x14ac:dyDescent="0.3">
      <c r="A20" s="50">
        <v>16</v>
      </c>
      <c r="B20" s="19" t="s">
        <v>627</v>
      </c>
      <c r="C20" s="19" t="s">
        <v>646</v>
      </c>
      <c r="D20" s="50">
        <v>37.76</v>
      </c>
      <c r="E20" s="50" t="s">
        <v>617</v>
      </c>
      <c r="F20" s="50">
        <v>17.89</v>
      </c>
      <c r="G20" s="50">
        <v>10.43</v>
      </c>
      <c r="H20" s="52">
        <f t="shared" si="0"/>
        <v>7045.7403519999998</v>
      </c>
    </row>
    <row r="21" spans="1:8" ht="15.6" x14ac:dyDescent="0.3">
      <c r="A21" s="50">
        <v>18</v>
      </c>
      <c r="B21" s="19" t="s">
        <v>89</v>
      </c>
      <c r="C21" s="19" t="s">
        <v>646</v>
      </c>
      <c r="D21" s="50">
        <v>37.76</v>
      </c>
      <c r="E21" s="50" t="s">
        <v>617</v>
      </c>
      <c r="F21" s="50">
        <v>0.6</v>
      </c>
      <c r="G21" s="50">
        <v>10.43</v>
      </c>
      <c r="H21" s="52">
        <f t="shared" si="0"/>
        <v>236.30207999999999</v>
      </c>
    </row>
    <row r="22" spans="1:8" ht="15.6" x14ac:dyDescent="0.3">
      <c r="A22" s="50">
        <v>19</v>
      </c>
      <c r="B22" s="19" t="s">
        <v>96</v>
      </c>
      <c r="C22" s="19" t="s">
        <v>647</v>
      </c>
      <c r="D22" s="50">
        <v>37.76</v>
      </c>
      <c r="E22" s="50" t="s">
        <v>617</v>
      </c>
      <c r="F22" s="50">
        <v>523.34</v>
      </c>
      <c r="G22" s="50">
        <v>10.7</v>
      </c>
      <c r="H22" s="52">
        <f t="shared" si="0"/>
        <v>211446.10687999998</v>
      </c>
    </row>
    <row r="23" spans="1:8" ht="15.6" x14ac:dyDescent="0.3">
      <c r="A23" s="50">
        <v>20</v>
      </c>
      <c r="B23" s="19" t="s">
        <v>98</v>
      </c>
      <c r="C23" s="19" t="s">
        <v>648</v>
      </c>
      <c r="D23" s="50">
        <v>37.76</v>
      </c>
      <c r="E23" s="50" t="s">
        <v>617</v>
      </c>
      <c r="F23" s="50">
        <v>152.6</v>
      </c>
      <c r="G23" s="50">
        <v>10.16</v>
      </c>
      <c r="H23" s="52">
        <f t="shared" si="0"/>
        <v>58543.708159999995</v>
      </c>
    </row>
    <row r="24" spans="1:8" ht="15.6" x14ac:dyDescent="0.3">
      <c r="A24" s="50">
        <v>21</v>
      </c>
      <c r="B24" s="19" t="s">
        <v>101</v>
      </c>
      <c r="C24" s="19" t="s">
        <v>647</v>
      </c>
      <c r="D24" s="50">
        <v>37.76</v>
      </c>
      <c r="E24" s="50" t="s">
        <v>617</v>
      </c>
      <c r="F24" s="50">
        <v>12.68</v>
      </c>
      <c r="G24" s="50">
        <v>10.7</v>
      </c>
      <c r="H24" s="52">
        <f t="shared" si="0"/>
        <v>5123.125759999999</v>
      </c>
    </row>
    <row r="25" spans="1:8" ht="15.6" x14ac:dyDescent="0.3">
      <c r="A25" s="50">
        <v>22</v>
      </c>
      <c r="B25" s="19" t="s">
        <v>499</v>
      </c>
      <c r="C25" s="19" t="s">
        <v>649</v>
      </c>
      <c r="D25" s="50">
        <v>37.76</v>
      </c>
      <c r="E25" s="50" t="s">
        <v>617</v>
      </c>
      <c r="F25" s="50">
        <v>17.989999999999998</v>
      </c>
      <c r="G25" s="50">
        <v>11.23</v>
      </c>
      <c r="H25" s="52">
        <f t="shared" si="0"/>
        <v>7628.565951999999</v>
      </c>
    </row>
    <row r="26" spans="1:8" ht="15.6" x14ac:dyDescent="0.3">
      <c r="A26" s="50">
        <v>23</v>
      </c>
      <c r="B26" s="19" t="s">
        <v>628</v>
      </c>
      <c r="C26" s="19" t="s">
        <v>649</v>
      </c>
      <c r="D26" s="50">
        <v>37.76</v>
      </c>
      <c r="E26" s="50" t="s">
        <v>617</v>
      </c>
      <c r="F26" s="50">
        <v>55.41</v>
      </c>
      <c r="G26" s="50">
        <v>11.23</v>
      </c>
      <c r="H26" s="52">
        <f t="shared" si="0"/>
        <v>23496.322367999997</v>
      </c>
    </row>
    <row r="27" spans="1:8" ht="15.6" x14ac:dyDescent="0.3">
      <c r="A27" s="50">
        <v>24</v>
      </c>
      <c r="B27" s="19" t="s">
        <v>409</v>
      </c>
      <c r="C27" s="19" t="s">
        <v>638</v>
      </c>
      <c r="D27" s="50">
        <v>37.76</v>
      </c>
      <c r="E27" s="50" t="s">
        <v>617</v>
      </c>
      <c r="F27" s="50">
        <v>22.3</v>
      </c>
      <c r="G27" s="50">
        <v>10.83</v>
      </c>
      <c r="H27" s="52">
        <f t="shared" si="0"/>
        <v>9119.3798399999996</v>
      </c>
    </row>
    <row r="28" spans="1:8" ht="15.6" x14ac:dyDescent="0.3">
      <c r="A28" s="50">
        <v>25</v>
      </c>
      <c r="B28" s="19" t="s">
        <v>112</v>
      </c>
      <c r="C28" s="19" t="s">
        <v>649</v>
      </c>
      <c r="D28" s="50">
        <v>37.76</v>
      </c>
      <c r="E28" s="50" t="s">
        <v>617</v>
      </c>
      <c r="F28" s="50">
        <v>22.27</v>
      </c>
      <c r="G28" s="50">
        <v>11.23</v>
      </c>
      <c r="H28" s="52">
        <f t="shared" si="0"/>
        <v>9443.4776959999999</v>
      </c>
    </row>
    <row r="29" spans="1:8" ht="15.6" x14ac:dyDescent="0.3">
      <c r="A29" s="50">
        <v>26</v>
      </c>
      <c r="B29" s="19" t="s">
        <v>118</v>
      </c>
      <c r="C29" s="19" t="s">
        <v>648</v>
      </c>
      <c r="D29" s="50">
        <v>37.76</v>
      </c>
      <c r="E29" s="50" t="s">
        <v>617</v>
      </c>
      <c r="F29" s="50">
        <v>106.96</v>
      </c>
      <c r="G29" s="50">
        <v>10.16</v>
      </c>
      <c r="H29" s="52">
        <f t="shared" si="0"/>
        <v>41034.305536</v>
      </c>
    </row>
    <row r="30" spans="1:8" ht="15.6" x14ac:dyDescent="0.3">
      <c r="A30" s="50">
        <v>27</v>
      </c>
      <c r="B30" s="19" t="s">
        <v>124</v>
      </c>
      <c r="C30" s="19" t="s">
        <v>650</v>
      </c>
      <c r="D30" s="50">
        <v>37.76</v>
      </c>
      <c r="E30" s="50" t="s">
        <v>617</v>
      </c>
      <c r="F30" s="50">
        <v>26.27</v>
      </c>
      <c r="G30" s="50">
        <v>11.5</v>
      </c>
      <c r="H30" s="52">
        <f t="shared" si="0"/>
        <v>11407.484799999998</v>
      </c>
    </row>
    <row r="31" spans="1:8" ht="15.6" x14ac:dyDescent="0.3">
      <c r="A31" s="50">
        <v>28</v>
      </c>
      <c r="B31" s="19" t="s">
        <v>121</v>
      </c>
      <c r="C31" s="19" t="s">
        <v>645</v>
      </c>
      <c r="D31" s="50">
        <v>37.76</v>
      </c>
      <c r="E31" s="50" t="s">
        <v>617</v>
      </c>
      <c r="F31" s="50">
        <v>68.31</v>
      </c>
      <c r="G31" s="50">
        <v>11.64</v>
      </c>
      <c r="H31" s="52">
        <f t="shared" si="0"/>
        <v>30024.048384000002</v>
      </c>
    </row>
    <row r="32" spans="1:8" ht="15.6" x14ac:dyDescent="0.3">
      <c r="A32" s="50">
        <v>29</v>
      </c>
      <c r="B32" s="19" t="s">
        <v>506</v>
      </c>
      <c r="C32" s="19" t="s">
        <v>640</v>
      </c>
      <c r="D32" s="50">
        <v>37.76</v>
      </c>
      <c r="E32" s="50" t="s">
        <v>617</v>
      </c>
      <c r="F32" s="50">
        <v>194.19</v>
      </c>
      <c r="G32" s="50">
        <v>10.56</v>
      </c>
      <c r="H32" s="52">
        <f t="shared" si="0"/>
        <v>77432.408064000003</v>
      </c>
    </row>
    <row r="33" spans="1:8" ht="15.6" x14ac:dyDescent="0.3">
      <c r="A33" s="50">
        <v>30</v>
      </c>
      <c r="B33" s="19" t="s">
        <v>510</v>
      </c>
      <c r="C33" s="19" t="s">
        <v>651</v>
      </c>
      <c r="D33" s="50">
        <v>37.76</v>
      </c>
      <c r="E33" s="50" t="s">
        <v>617</v>
      </c>
      <c r="F33" s="50">
        <v>22.6</v>
      </c>
      <c r="G33" s="50">
        <v>11.77</v>
      </c>
      <c r="H33" s="52">
        <f t="shared" si="0"/>
        <v>10044.23552</v>
      </c>
    </row>
    <row r="34" spans="1:8" ht="15.6" x14ac:dyDescent="0.3">
      <c r="A34" s="50">
        <v>31</v>
      </c>
      <c r="B34" s="19" t="s">
        <v>512</v>
      </c>
      <c r="C34" s="19" t="s">
        <v>637</v>
      </c>
      <c r="D34" s="50">
        <v>37.76</v>
      </c>
      <c r="E34" s="50" t="s">
        <v>617</v>
      </c>
      <c r="F34" s="50">
        <v>57.03</v>
      </c>
      <c r="G34" s="50">
        <v>9.98</v>
      </c>
      <c r="H34" s="52">
        <f t="shared" si="0"/>
        <v>21491.458944000002</v>
      </c>
    </row>
    <row r="35" spans="1:8" ht="15.6" x14ac:dyDescent="0.3">
      <c r="A35" s="50">
        <v>32</v>
      </c>
      <c r="B35" s="19" t="s">
        <v>652</v>
      </c>
      <c r="C35" s="19" t="s">
        <v>639</v>
      </c>
      <c r="D35" s="50">
        <v>37.76</v>
      </c>
      <c r="E35" s="50" t="s">
        <v>617</v>
      </c>
      <c r="F35" s="50">
        <v>153.33000000000001</v>
      </c>
      <c r="G35" s="50">
        <v>11.1</v>
      </c>
      <c r="H35" s="52">
        <f t="shared" si="0"/>
        <v>64266.122880000003</v>
      </c>
    </row>
    <row r="36" spans="1:8" ht="15.6" x14ac:dyDescent="0.3">
      <c r="A36" s="50">
        <v>33</v>
      </c>
      <c r="B36" s="19" t="s">
        <v>128</v>
      </c>
      <c r="C36" s="19" t="s">
        <v>647</v>
      </c>
      <c r="D36" s="50">
        <v>37.76</v>
      </c>
      <c r="E36" s="50" t="s">
        <v>617</v>
      </c>
      <c r="F36" s="50">
        <v>24.77</v>
      </c>
      <c r="G36" s="50">
        <v>10.7</v>
      </c>
      <c r="H36" s="52">
        <f t="shared" si="0"/>
        <v>10007.872639999998</v>
      </c>
    </row>
    <row r="37" spans="1:8" ht="15.6" x14ac:dyDescent="0.3">
      <c r="A37" s="50">
        <v>34</v>
      </c>
      <c r="B37" s="19" t="s">
        <v>131</v>
      </c>
      <c r="C37" s="19" t="s">
        <v>649</v>
      </c>
      <c r="D37" s="50">
        <v>37.76</v>
      </c>
      <c r="E37" s="50" t="s">
        <v>617</v>
      </c>
      <c r="F37" s="50">
        <v>22.94</v>
      </c>
      <c r="G37" s="50">
        <v>11.23</v>
      </c>
      <c r="H37" s="52">
        <f t="shared" si="0"/>
        <v>9727.5877120000005</v>
      </c>
    </row>
    <row r="38" spans="1:8" ht="15.6" x14ac:dyDescent="0.3">
      <c r="A38" s="50">
        <v>35</v>
      </c>
      <c r="B38" s="19" t="s">
        <v>138</v>
      </c>
      <c r="C38" s="19" t="s">
        <v>654</v>
      </c>
      <c r="D38" s="50">
        <v>37.76</v>
      </c>
      <c r="E38" s="50" t="s">
        <v>617</v>
      </c>
      <c r="F38" s="50">
        <v>47.49</v>
      </c>
      <c r="G38" s="50">
        <v>12.49</v>
      </c>
      <c r="H38" s="52">
        <f t="shared" si="0"/>
        <v>22397.347775999999</v>
      </c>
    </row>
    <row r="39" spans="1:8" ht="15.6" x14ac:dyDescent="0.3">
      <c r="A39" s="50">
        <v>36</v>
      </c>
      <c r="B39" s="19" t="s">
        <v>521</v>
      </c>
      <c r="C39" s="19" t="s">
        <v>643</v>
      </c>
      <c r="D39" s="50">
        <v>37.76</v>
      </c>
      <c r="E39" s="50" t="s">
        <v>617</v>
      </c>
      <c r="F39" s="50">
        <v>37.46</v>
      </c>
      <c r="G39" s="50">
        <v>10.97</v>
      </c>
      <c r="H39" s="52">
        <f t="shared" si="0"/>
        <v>15516.950912</v>
      </c>
    </row>
    <row r="40" spans="1:8" ht="15.6" x14ac:dyDescent="0.3">
      <c r="A40" s="50">
        <v>37</v>
      </c>
      <c r="B40" s="19" t="s">
        <v>139</v>
      </c>
      <c r="C40" s="19" t="s">
        <v>644</v>
      </c>
      <c r="D40" s="50">
        <v>37.76</v>
      </c>
      <c r="E40" s="50" t="s">
        <v>617</v>
      </c>
      <c r="F40" s="50">
        <v>84.16</v>
      </c>
      <c r="G40" s="50">
        <v>9.7100000000000009</v>
      </c>
      <c r="H40" s="52">
        <f t="shared" si="0"/>
        <v>30857.230336000001</v>
      </c>
    </row>
    <row r="41" spans="1:8" ht="15.6" x14ac:dyDescent="0.3">
      <c r="A41" s="50">
        <v>38</v>
      </c>
      <c r="B41" s="19" t="s">
        <v>629</v>
      </c>
      <c r="C41" s="19" t="s">
        <v>644</v>
      </c>
      <c r="D41" s="50">
        <v>37.76</v>
      </c>
      <c r="E41" s="50" t="s">
        <v>617</v>
      </c>
      <c r="F41" s="50">
        <v>80.239999999999995</v>
      </c>
      <c r="G41" s="50">
        <v>9.7100000000000009</v>
      </c>
      <c r="H41" s="52">
        <f t="shared" si="0"/>
        <v>29419.963903999997</v>
      </c>
    </row>
    <row r="42" spans="1:8" ht="15.6" x14ac:dyDescent="0.3">
      <c r="A42" s="50">
        <v>39</v>
      </c>
      <c r="B42" s="19" t="s">
        <v>531</v>
      </c>
      <c r="C42" s="19" t="s">
        <v>655</v>
      </c>
      <c r="D42" s="50">
        <v>37.76</v>
      </c>
      <c r="E42" s="50" t="s">
        <v>617</v>
      </c>
      <c r="F42" s="50">
        <v>222.6</v>
      </c>
      <c r="G42" s="50">
        <v>12.12</v>
      </c>
      <c r="H42" s="52">
        <f t="shared" si="0"/>
        <v>101873.15711999999</v>
      </c>
    </row>
    <row r="43" spans="1:8" ht="15.6" x14ac:dyDescent="0.3">
      <c r="A43" s="50">
        <v>40</v>
      </c>
      <c r="B43" s="19" t="s">
        <v>533</v>
      </c>
      <c r="C43" s="19" t="s">
        <v>655</v>
      </c>
      <c r="D43" s="50">
        <v>37.76</v>
      </c>
      <c r="E43" s="50" t="s">
        <v>617</v>
      </c>
      <c r="F43" s="50">
        <v>159.85</v>
      </c>
      <c r="G43" s="50">
        <v>12.12</v>
      </c>
      <c r="H43" s="52">
        <f t="shared" si="0"/>
        <v>73155.544319999986</v>
      </c>
    </row>
    <row r="44" spans="1:8" ht="15.6" x14ac:dyDescent="0.3">
      <c r="A44" s="50">
        <v>41</v>
      </c>
      <c r="B44" s="19" t="s">
        <v>146</v>
      </c>
      <c r="C44" s="19" t="s">
        <v>650</v>
      </c>
      <c r="D44" s="50">
        <v>37.76</v>
      </c>
      <c r="E44" s="50" t="s">
        <v>617</v>
      </c>
      <c r="F44" s="50">
        <v>6.44</v>
      </c>
      <c r="G44" s="50">
        <v>11.5</v>
      </c>
      <c r="H44" s="52">
        <f t="shared" si="0"/>
        <v>2796.5056</v>
      </c>
    </row>
    <row r="45" spans="1:8" ht="15.6" x14ac:dyDescent="0.3">
      <c r="A45" s="50">
        <v>42</v>
      </c>
      <c r="B45" s="19" t="s">
        <v>630</v>
      </c>
      <c r="C45" s="19" t="s">
        <v>651</v>
      </c>
      <c r="D45" s="50">
        <v>37.76</v>
      </c>
      <c r="E45" s="50" t="s">
        <v>617</v>
      </c>
      <c r="F45" s="50">
        <v>110.35</v>
      </c>
      <c r="G45" s="50">
        <v>11.77</v>
      </c>
      <c r="H45" s="52">
        <f t="shared" si="0"/>
        <v>49043.424319999998</v>
      </c>
    </row>
    <row r="46" spans="1:8" ht="15.6" x14ac:dyDescent="0.3">
      <c r="A46" s="50">
        <v>43</v>
      </c>
      <c r="B46" s="19" t="s">
        <v>631</v>
      </c>
      <c r="C46" s="19" t="s">
        <v>651</v>
      </c>
      <c r="D46" s="50">
        <v>37.76</v>
      </c>
      <c r="E46" s="50" t="s">
        <v>617</v>
      </c>
      <c r="F46" s="50">
        <v>86.23</v>
      </c>
      <c r="G46" s="50">
        <v>11.77</v>
      </c>
      <c r="H46" s="52">
        <f t="shared" si="0"/>
        <v>38323.647296000003</v>
      </c>
    </row>
    <row r="47" spans="1:8" ht="15.6" x14ac:dyDescent="0.3">
      <c r="A47" s="50">
        <v>44</v>
      </c>
      <c r="B47" s="19" t="s">
        <v>632</v>
      </c>
      <c r="C47" s="19" t="s">
        <v>649</v>
      </c>
      <c r="D47" s="50">
        <v>37.76</v>
      </c>
      <c r="E47" s="50" t="s">
        <v>617</v>
      </c>
      <c r="F47" s="50">
        <v>15.99</v>
      </c>
      <c r="G47" s="50">
        <v>11.23</v>
      </c>
      <c r="H47" s="52">
        <f t="shared" si="0"/>
        <v>6780.4763519999997</v>
      </c>
    </row>
    <row r="48" spans="1:8" ht="15.6" x14ac:dyDescent="0.3">
      <c r="A48" s="50">
        <v>45</v>
      </c>
      <c r="B48" s="19" t="s">
        <v>633</v>
      </c>
      <c r="C48" s="19" t="s">
        <v>646</v>
      </c>
      <c r="D48" s="50">
        <v>37.76</v>
      </c>
      <c r="E48" s="50" t="s">
        <v>617</v>
      </c>
      <c r="F48" s="50">
        <v>27.83</v>
      </c>
      <c r="G48" s="50">
        <v>10.43</v>
      </c>
      <c r="H48" s="52">
        <f t="shared" si="0"/>
        <v>10960.478143999999</v>
      </c>
    </row>
    <row r="49" spans="1:8" ht="15.6" x14ac:dyDescent="0.3">
      <c r="A49" s="50">
        <v>46</v>
      </c>
      <c r="B49" s="19" t="s">
        <v>634</v>
      </c>
      <c r="C49" s="19" t="s">
        <v>650</v>
      </c>
      <c r="D49" s="50">
        <v>37.76</v>
      </c>
      <c r="E49" s="50" t="s">
        <v>617</v>
      </c>
      <c r="F49" s="50">
        <v>148.63</v>
      </c>
      <c r="G49" s="50">
        <v>11.5</v>
      </c>
      <c r="H49" s="52">
        <f t="shared" si="0"/>
        <v>64541.091199999995</v>
      </c>
    </row>
    <row r="50" spans="1:8" ht="15.6" x14ac:dyDescent="0.3">
      <c r="A50" s="50">
        <v>47</v>
      </c>
      <c r="B50" s="19" t="s">
        <v>635</v>
      </c>
      <c r="C50" s="19" t="s">
        <v>649</v>
      </c>
      <c r="D50" s="50">
        <v>37.76</v>
      </c>
      <c r="E50" s="50" t="s">
        <v>617</v>
      </c>
      <c r="F50" s="50">
        <v>20.45</v>
      </c>
      <c r="G50" s="50">
        <v>11.23</v>
      </c>
      <c r="H50" s="52">
        <f t="shared" si="0"/>
        <v>8671.7161599999999</v>
      </c>
    </row>
    <row r="51" spans="1:8" ht="15.6" x14ac:dyDescent="0.3">
      <c r="A51" s="50">
        <v>48</v>
      </c>
      <c r="B51" s="19" t="s">
        <v>636</v>
      </c>
      <c r="C51" s="19" t="s">
        <v>643</v>
      </c>
      <c r="D51" s="50">
        <v>37.76</v>
      </c>
      <c r="E51" s="50" t="s">
        <v>617</v>
      </c>
      <c r="F51" s="50">
        <v>444.07</v>
      </c>
      <c r="G51" s="50">
        <v>10.97</v>
      </c>
      <c r="H51" s="52">
        <f t="shared" si="0"/>
        <v>183945.87270399998</v>
      </c>
    </row>
    <row r="52" spans="1:8" ht="15.6" x14ac:dyDescent="0.3">
      <c r="A52" s="131"/>
      <c r="B52" s="131"/>
      <c r="C52" s="109" t="s">
        <v>359</v>
      </c>
      <c r="D52" s="91"/>
      <c r="E52" s="91"/>
      <c r="F52" s="30">
        <f>SUM(F6:F51)</f>
        <v>3488.0499999999993</v>
      </c>
      <c r="G52" s="91"/>
      <c r="H52" s="110">
        <f>SUM(H6:H51)</f>
        <v>1447092.6639359999</v>
      </c>
    </row>
    <row r="53" spans="1:8" ht="15.6" x14ac:dyDescent="0.3">
      <c r="A53" s="91"/>
      <c r="B53" s="91"/>
      <c r="C53" s="30" t="s">
        <v>16</v>
      </c>
      <c r="D53" s="91"/>
      <c r="E53" s="91"/>
      <c r="F53" s="91"/>
      <c r="G53" s="91"/>
      <c r="H53" s="91"/>
    </row>
    <row r="54" spans="1:8" ht="15.6" x14ac:dyDescent="0.3">
      <c r="A54" s="50">
        <v>1</v>
      </c>
      <c r="B54" s="33" t="s">
        <v>46</v>
      </c>
      <c r="C54" s="19" t="s">
        <v>657</v>
      </c>
      <c r="D54" s="50">
        <v>37.76</v>
      </c>
      <c r="E54" s="50" t="s">
        <v>617</v>
      </c>
      <c r="F54" s="19">
        <v>1.27</v>
      </c>
      <c r="G54" s="50">
        <v>13.56</v>
      </c>
      <c r="H54" s="52">
        <f>D54*F54*G54</f>
        <v>650.27251200000001</v>
      </c>
    </row>
    <row r="55" spans="1:8" ht="15.6" x14ac:dyDescent="0.3">
      <c r="A55" s="50">
        <v>2</v>
      </c>
      <c r="B55" s="33" t="s">
        <v>47</v>
      </c>
      <c r="C55" s="19" t="s">
        <v>658</v>
      </c>
      <c r="D55" s="50">
        <v>37.76</v>
      </c>
      <c r="E55" s="50" t="s">
        <v>617</v>
      </c>
      <c r="F55" s="19">
        <v>32.03</v>
      </c>
      <c r="G55" s="50">
        <v>15.8</v>
      </c>
      <c r="H55" s="52">
        <f t="shared" ref="H55:H94" si="1">D55*F55*G55</f>
        <v>19109.354240000001</v>
      </c>
    </row>
    <row r="56" spans="1:8" ht="15.6" x14ac:dyDescent="0.3">
      <c r="A56" s="50">
        <v>4</v>
      </c>
      <c r="B56" s="50" t="s">
        <v>619</v>
      </c>
      <c r="C56" s="19" t="s">
        <v>658</v>
      </c>
      <c r="D56" s="50">
        <v>37.76</v>
      </c>
      <c r="E56" s="50" t="s">
        <v>617</v>
      </c>
      <c r="F56" s="19">
        <v>4.41</v>
      </c>
      <c r="G56" s="50">
        <v>15.8</v>
      </c>
      <c r="H56" s="52">
        <f t="shared" si="1"/>
        <v>2631.0412800000004</v>
      </c>
    </row>
    <row r="57" spans="1:8" ht="15.6" x14ac:dyDescent="0.3">
      <c r="A57" s="50">
        <v>5</v>
      </c>
      <c r="B57" s="50" t="s">
        <v>620</v>
      </c>
      <c r="C57" s="19" t="s">
        <v>658</v>
      </c>
      <c r="D57" s="50">
        <v>37.76</v>
      </c>
      <c r="E57" s="50" t="s">
        <v>617</v>
      </c>
      <c r="F57" s="19">
        <v>5</v>
      </c>
      <c r="G57" s="50">
        <v>15.8</v>
      </c>
      <c r="H57" s="52">
        <f t="shared" si="1"/>
        <v>2983.04</v>
      </c>
    </row>
    <row r="58" spans="1:8" ht="15.6" x14ac:dyDescent="0.3">
      <c r="A58" s="50">
        <v>6</v>
      </c>
      <c r="B58" s="50" t="s">
        <v>621</v>
      </c>
      <c r="C58" s="19" t="s">
        <v>658</v>
      </c>
      <c r="D58" s="50">
        <v>37.76</v>
      </c>
      <c r="E58" s="50" t="s">
        <v>617</v>
      </c>
      <c r="F58" s="19">
        <v>12.27</v>
      </c>
      <c r="G58" s="50">
        <v>15.8</v>
      </c>
      <c r="H58" s="52">
        <f t="shared" si="1"/>
        <v>7320.3801599999997</v>
      </c>
    </row>
    <row r="59" spans="1:8" ht="15.6" x14ac:dyDescent="0.3">
      <c r="A59" s="50">
        <v>7</v>
      </c>
      <c r="B59" s="50" t="s">
        <v>620</v>
      </c>
      <c r="C59" s="19" t="s">
        <v>658</v>
      </c>
      <c r="D59" s="50">
        <v>37.76</v>
      </c>
      <c r="E59" s="50" t="s">
        <v>617</v>
      </c>
      <c r="F59" s="19">
        <v>8.1300000000000008</v>
      </c>
      <c r="G59" s="50">
        <v>15.8</v>
      </c>
      <c r="H59" s="52">
        <f t="shared" si="1"/>
        <v>4850.4230400000006</v>
      </c>
    </row>
    <row r="60" spans="1:8" ht="15.6" x14ac:dyDescent="0.3">
      <c r="A60" s="50">
        <v>8</v>
      </c>
      <c r="B60" s="50" t="s">
        <v>621</v>
      </c>
      <c r="C60" s="19" t="s">
        <v>658</v>
      </c>
      <c r="D60" s="50">
        <v>37.76</v>
      </c>
      <c r="E60" s="50" t="s">
        <v>617</v>
      </c>
      <c r="F60" s="19">
        <v>12.27</v>
      </c>
      <c r="G60" s="50">
        <v>15.8</v>
      </c>
      <c r="H60" s="52">
        <f t="shared" si="1"/>
        <v>7320.3801599999997</v>
      </c>
    </row>
    <row r="61" spans="1:8" ht="15.6" x14ac:dyDescent="0.3">
      <c r="A61" s="50">
        <v>9</v>
      </c>
      <c r="B61" s="50" t="s">
        <v>409</v>
      </c>
      <c r="C61" s="19" t="s">
        <v>658</v>
      </c>
      <c r="D61" s="50">
        <v>37.76</v>
      </c>
      <c r="E61" s="50" t="s">
        <v>617</v>
      </c>
      <c r="F61" s="19">
        <v>1.0900000000000001</v>
      </c>
      <c r="G61" s="50">
        <v>15.8</v>
      </c>
      <c r="H61" s="52">
        <f t="shared" si="1"/>
        <v>650.30272000000002</v>
      </c>
    </row>
    <row r="62" spans="1:8" ht="15.6" x14ac:dyDescent="0.3">
      <c r="A62" s="50">
        <v>10</v>
      </c>
      <c r="B62" s="50" t="s">
        <v>622</v>
      </c>
      <c r="C62" s="19" t="s">
        <v>658</v>
      </c>
      <c r="D62" s="50">
        <v>37.76</v>
      </c>
      <c r="E62" s="50" t="s">
        <v>617</v>
      </c>
      <c r="F62" s="19">
        <v>3.29</v>
      </c>
      <c r="G62" s="50">
        <v>15.8</v>
      </c>
      <c r="H62" s="52">
        <f t="shared" si="1"/>
        <v>1962.84032</v>
      </c>
    </row>
    <row r="63" spans="1:8" ht="15.6" x14ac:dyDescent="0.3">
      <c r="A63" s="50">
        <v>12</v>
      </c>
      <c r="B63" s="50" t="s">
        <v>624</v>
      </c>
      <c r="C63" s="19" t="s">
        <v>658</v>
      </c>
      <c r="D63" s="50">
        <v>37.76</v>
      </c>
      <c r="E63" s="50" t="s">
        <v>617</v>
      </c>
      <c r="F63" s="19">
        <v>0.28000000000000003</v>
      </c>
      <c r="G63" s="50">
        <v>15.8</v>
      </c>
      <c r="H63" s="52">
        <f t="shared" si="1"/>
        <v>167.05024000000003</v>
      </c>
    </row>
    <row r="64" spans="1:8" ht="15.6" x14ac:dyDescent="0.3">
      <c r="A64" s="50">
        <v>13</v>
      </c>
      <c r="B64" s="50" t="s">
        <v>521</v>
      </c>
      <c r="C64" s="19" t="s">
        <v>658</v>
      </c>
      <c r="D64" s="50">
        <v>37.76</v>
      </c>
      <c r="E64" s="50" t="s">
        <v>617</v>
      </c>
      <c r="F64" s="19">
        <v>0.13</v>
      </c>
      <c r="G64" s="50">
        <v>15.8</v>
      </c>
      <c r="H64" s="52">
        <f t="shared" si="1"/>
        <v>77.55904000000001</v>
      </c>
    </row>
    <row r="65" spans="1:8" ht="15.6" x14ac:dyDescent="0.3">
      <c r="A65" s="50">
        <v>14</v>
      </c>
      <c r="B65" s="50" t="s">
        <v>625</v>
      </c>
      <c r="C65" s="19" t="s">
        <v>658</v>
      </c>
      <c r="D65" s="50">
        <v>37.76</v>
      </c>
      <c r="E65" s="50" t="s">
        <v>617</v>
      </c>
      <c r="F65" s="19">
        <v>2.59</v>
      </c>
      <c r="G65" s="50">
        <v>15.8</v>
      </c>
      <c r="H65" s="52">
        <f t="shared" si="1"/>
        <v>1545.2147199999999</v>
      </c>
    </row>
    <row r="66" spans="1:8" ht="15.6" x14ac:dyDescent="0.3">
      <c r="A66" s="50">
        <v>17</v>
      </c>
      <c r="B66" s="50" t="s">
        <v>656</v>
      </c>
      <c r="C66" s="19" t="s">
        <v>659</v>
      </c>
      <c r="D66" s="50">
        <v>37.76</v>
      </c>
      <c r="E66" s="50" t="s">
        <v>617</v>
      </c>
      <c r="F66" s="19">
        <v>0.79</v>
      </c>
      <c r="G66" s="50">
        <v>11.77</v>
      </c>
      <c r="H66" s="52">
        <f t="shared" si="1"/>
        <v>351.10380800000001</v>
      </c>
    </row>
    <row r="67" spans="1:8" ht="15.6" x14ac:dyDescent="0.3">
      <c r="A67" s="50">
        <v>18</v>
      </c>
      <c r="B67" s="50" t="s">
        <v>89</v>
      </c>
      <c r="C67" s="19" t="s">
        <v>658</v>
      </c>
      <c r="D67" s="50">
        <v>37.76</v>
      </c>
      <c r="E67" s="50" t="s">
        <v>617</v>
      </c>
      <c r="F67" s="19">
        <v>0.15</v>
      </c>
      <c r="G67" s="50">
        <v>15.8</v>
      </c>
      <c r="H67" s="52">
        <f t="shared" si="1"/>
        <v>89.491200000000006</v>
      </c>
    </row>
    <row r="68" spans="1:8" ht="15.6" x14ac:dyDescent="0.3">
      <c r="A68" s="50">
        <v>19</v>
      </c>
      <c r="B68" s="50" t="s">
        <v>96</v>
      </c>
      <c r="C68" s="19" t="s">
        <v>658</v>
      </c>
      <c r="D68" s="50">
        <v>37.76</v>
      </c>
      <c r="E68" s="50" t="s">
        <v>617</v>
      </c>
      <c r="F68" s="19">
        <v>27.89</v>
      </c>
      <c r="G68" s="50">
        <v>15.8</v>
      </c>
      <c r="H68" s="52">
        <f t="shared" si="1"/>
        <v>16639.397119999998</v>
      </c>
    </row>
    <row r="69" spans="1:8" ht="15.6" x14ac:dyDescent="0.3">
      <c r="A69" s="50">
        <v>20</v>
      </c>
      <c r="B69" s="50" t="s">
        <v>98</v>
      </c>
      <c r="C69" s="19" t="s">
        <v>658</v>
      </c>
      <c r="D69" s="50">
        <v>37.76</v>
      </c>
      <c r="E69" s="50" t="s">
        <v>617</v>
      </c>
      <c r="F69" s="19">
        <v>11.72</v>
      </c>
      <c r="G69" s="50">
        <v>15.8</v>
      </c>
      <c r="H69" s="52">
        <f t="shared" si="1"/>
        <v>6992.2457599999998</v>
      </c>
    </row>
    <row r="70" spans="1:8" ht="15.6" x14ac:dyDescent="0.3">
      <c r="A70" s="50">
        <v>21</v>
      </c>
      <c r="B70" s="50" t="s">
        <v>101</v>
      </c>
      <c r="C70" s="19" t="s">
        <v>658</v>
      </c>
      <c r="D70" s="50">
        <v>37.76</v>
      </c>
      <c r="E70" s="50" t="s">
        <v>617</v>
      </c>
      <c r="F70" s="19">
        <v>6.54</v>
      </c>
      <c r="G70" s="50">
        <v>15.8</v>
      </c>
      <c r="H70" s="52">
        <f t="shared" si="1"/>
        <v>3901.8163200000004</v>
      </c>
    </row>
    <row r="71" spans="1:8" ht="15.6" x14ac:dyDescent="0.3">
      <c r="A71" s="50">
        <v>22</v>
      </c>
      <c r="B71" s="50" t="s">
        <v>499</v>
      </c>
      <c r="C71" s="19" t="s">
        <v>658</v>
      </c>
      <c r="D71" s="50">
        <v>37.76</v>
      </c>
      <c r="E71" s="50" t="s">
        <v>617</v>
      </c>
      <c r="F71" s="19">
        <v>2.09</v>
      </c>
      <c r="G71" s="50">
        <v>15.8</v>
      </c>
      <c r="H71" s="52">
        <f t="shared" si="1"/>
        <v>1246.9107199999999</v>
      </c>
    </row>
    <row r="72" spans="1:8" ht="15.6" x14ac:dyDescent="0.3">
      <c r="A72" s="50">
        <v>23</v>
      </c>
      <c r="B72" s="50" t="s">
        <v>628</v>
      </c>
      <c r="C72" s="19" t="s">
        <v>658</v>
      </c>
      <c r="D72" s="50">
        <v>37.76</v>
      </c>
      <c r="E72" s="50" t="s">
        <v>617</v>
      </c>
      <c r="F72" s="19">
        <v>8.0299999999999994</v>
      </c>
      <c r="G72" s="50">
        <v>15.8</v>
      </c>
      <c r="H72" s="52">
        <f t="shared" si="1"/>
        <v>4790.7622399999991</v>
      </c>
    </row>
    <row r="73" spans="1:8" ht="15.6" x14ac:dyDescent="0.3">
      <c r="A73" s="50">
        <v>24</v>
      </c>
      <c r="B73" s="50" t="s">
        <v>409</v>
      </c>
      <c r="C73" s="19" t="s">
        <v>658</v>
      </c>
      <c r="D73" s="50">
        <v>37.76</v>
      </c>
      <c r="E73" s="50" t="s">
        <v>617</v>
      </c>
      <c r="F73" s="19">
        <v>1.44</v>
      </c>
      <c r="G73" s="50">
        <v>15.8</v>
      </c>
      <c r="H73" s="52">
        <f t="shared" si="1"/>
        <v>859.11551999999995</v>
      </c>
    </row>
    <row r="74" spans="1:8" ht="15.6" x14ac:dyDescent="0.3">
      <c r="A74" s="50">
        <v>25</v>
      </c>
      <c r="B74" s="50" t="s">
        <v>112</v>
      </c>
      <c r="C74" s="19" t="s">
        <v>658</v>
      </c>
      <c r="D74" s="50">
        <v>37.76</v>
      </c>
      <c r="E74" s="50" t="s">
        <v>617</v>
      </c>
      <c r="F74" s="19">
        <v>0.49</v>
      </c>
      <c r="G74" s="50">
        <v>15.8</v>
      </c>
      <c r="H74" s="52">
        <f t="shared" si="1"/>
        <v>292.33792</v>
      </c>
    </row>
    <row r="75" spans="1:8" ht="15.6" x14ac:dyDescent="0.3">
      <c r="A75" s="50">
        <v>26</v>
      </c>
      <c r="B75" s="50" t="s">
        <v>118</v>
      </c>
      <c r="C75" s="19" t="s">
        <v>658</v>
      </c>
      <c r="D75" s="50">
        <v>37.76</v>
      </c>
      <c r="E75" s="50" t="s">
        <v>617</v>
      </c>
      <c r="F75" s="19">
        <v>0.67</v>
      </c>
      <c r="G75" s="50">
        <v>15.8</v>
      </c>
      <c r="H75" s="52">
        <f t="shared" si="1"/>
        <v>399.72735999999998</v>
      </c>
    </row>
    <row r="76" spans="1:8" ht="15.6" x14ac:dyDescent="0.3">
      <c r="A76" s="50">
        <v>27</v>
      </c>
      <c r="B76" s="50" t="s">
        <v>124</v>
      </c>
      <c r="C76" s="19" t="s">
        <v>658</v>
      </c>
      <c r="D76" s="50">
        <v>37.76</v>
      </c>
      <c r="E76" s="50" t="s">
        <v>617</v>
      </c>
      <c r="F76" s="19">
        <v>0.27</v>
      </c>
      <c r="G76" s="50">
        <v>15.8</v>
      </c>
      <c r="H76" s="52">
        <f t="shared" si="1"/>
        <v>161.08416</v>
      </c>
    </row>
    <row r="77" spans="1:8" ht="15.6" x14ac:dyDescent="0.3">
      <c r="A77" s="50">
        <v>28</v>
      </c>
      <c r="B77" s="50" t="s">
        <v>121</v>
      </c>
      <c r="C77" s="19" t="s">
        <v>658</v>
      </c>
      <c r="D77" s="50">
        <v>37.76</v>
      </c>
      <c r="E77" s="50" t="s">
        <v>617</v>
      </c>
      <c r="F77" s="19">
        <v>0.83</v>
      </c>
      <c r="G77" s="50">
        <v>15.8</v>
      </c>
      <c r="H77" s="52">
        <f t="shared" si="1"/>
        <v>495.18464</v>
      </c>
    </row>
    <row r="78" spans="1:8" ht="15.6" x14ac:dyDescent="0.3">
      <c r="A78" s="50">
        <v>29</v>
      </c>
      <c r="B78" s="50" t="s">
        <v>506</v>
      </c>
      <c r="C78" s="19" t="s">
        <v>658</v>
      </c>
      <c r="D78" s="50">
        <v>37.76</v>
      </c>
      <c r="E78" s="50" t="s">
        <v>617</v>
      </c>
      <c r="F78" s="19">
        <v>3.98</v>
      </c>
      <c r="G78" s="50">
        <v>15.8</v>
      </c>
      <c r="H78" s="52">
        <f t="shared" si="1"/>
        <v>2374.4998399999999</v>
      </c>
    </row>
    <row r="79" spans="1:8" ht="15.6" x14ac:dyDescent="0.3">
      <c r="A79" s="50">
        <v>31</v>
      </c>
      <c r="B79" s="50" t="s">
        <v>512</v>
      </c>
      <c r="C79" s="19" t="s">
        <v>658</v>
      </c>
      <c r="D79" s="50">
        <v>37.76</v>
      </c>
      <c r="E79" s="50" t="s">
        <v>617</v>
      </c>
      <c r="F79" s="19">
        <v>1.02</v>
      </c>
      <c r="G79" s="50">
        <v>15.8</v>
      </c>
      <c r="H79" s="52">
        <f t="shared" si="1"/>
        <v>608.54016000000001</v>
      </c>
    </row>
    <row r="80" spans="1:8" ht="15.6" x14ac:dyDescent="0.3">
      <c r="A80" s="50">
        <v>33</v>
      </c>
      <c r="B80" s="50" t="s">
        <v>128</v>
      </c>
      <c r="C80" s="19" t="s">
        <v>658</v>
      </c>
      <c r="D80" s="50">
        <v>37.76</v>
      </c>
      <c r="E80" s="50" t="s">
        <v>617</v>
      </c>
      <c r="F80" s="19">
        <v>0.11</v>
      </c>
      <c r="G80" s="50">
        <v>15.8</v>
      </c>
      <c r="H80" s="52">
        <f t="shared" si="1"/>
        <v>65.62688</v>
      </c>
    </row>
    <row r="81" spans="1:8" ht="15.6" x14ac:dyDescent="0.3">
      <c r="A81" s="50">
        <v>34</v>
      </c>
      <c r="B81" s="50" t="s">
        <v>131</v>
      </c>
      <c r="C81" s="19" t="s">
        <v>658</v>
      </c>
      <c r="D81" s="50">
        <v>37.76</v>
      </c>
      <c r="E81" s="50" t="s">
        <v>617</v>
      </c>
      <c r="F81" s="19">
        <v>2.5</v>
      </c>
      <c r="G81" s="50">
        <v>15.8</v>
      </c>
      <c r="H81" s="52">
        <f t="shared" si="1"/>
        <v>1491.52</v>
      </c>
    </row>
    <row r="82" spans="1:8" ht="15.6" x14ac:dyDescent="0.3">
      <c r="A82" s="50">
        <v>35</v>
      </c>
      <c r="B82" s="50" t="s">
        <v>138</v>
      </c>
      <c r="C82" s="19" t="s">
        <v>658</v>
      </c>
      <c r="D82" s="50">
        <v>37.76</v>
      </c>
      <c r="E82" s="50" t="s">
        <v>617</v>
      </c>
      <c r="F82" s="19">
        <v>1.52</v>
      </c>
      <c r="G82" s="50">
        <v>15.8</v>
      </c>
      <c r="H82" s="52">
        <f t="shared" si="1"/>
        <v>906.84415999999999</v>
      </c>
    </row>
    <row r="83" spans="1:8" ht="15.6" x14ac:dyDescent="0.3">
      <c r="A83" s="50">
        <v>36</v>
      </c>
      <c r="B83" s="50" t="s">
        <v>521</v>
      </c>
      <c r="C83" s="19" t="s">
        <v>658</v>
      </c>
      <c r="D83" s="50">
        <v>37.76</v>
      </c>
      <c r="E83" s="50" t="s">
        <v>617</v>
      </c>
      <c r="F83" s="19">
        <v>0.24</v>
      </c>
      <c r="G83" s="50">
        <v>15.8</v>
      </c>
      <c r="H83" s="52">
        <f t="shared" si="1"/>
        <v>143.18591999999998</v>
      </c>
    </row>
    <row r="84" spans="1:8" ht="15.6" x14ac:dyDescent="0.3">
      <c r="A84" s="50">
        <v>37</v>
      </c>
      <c r="B84" s="50" t="s">
        <v>139</v>
      </c>
      <c r="C84" s="19" t="s">
        <v>658</v>
      </c>
      <c r="D84" s="50">
        <v>37.76</v>
      </c>
      <c r="E84" s="50" t="s">
        <v>617</v>
      </c>
      <c r="F84" s="19">
        <v>2.71</v>
      </c>
      <c r="G84" s="50">
        <v>15.8</v>
      </c>
      <c r="H84" s="52">
        <f t="shared" si="1"/>
        <v>1616.8076800000001</v>
      </c>
    </row>
    <row r="85" spans="1:8" ht="15.6" x14ac:dyDescent="0.3">
      <c r="A85" s="50">
        <v>38</v>
      </c>
      <c r="B85" s="50" t="s">
        <v>629</v>
      </c>
      <c r="C85" s="19" t="s">
        <v>658</v>
      </c>
      <c r="D85" s="50">
        <v>37.76</v>
      </c>
      <c r="E85" s="50" t="s">
        <v>617</v>
      </c>
      <c r="F85" s="19">
        <v>0.28000000000000003</v>
      </c>
      <c r="G85" s="50">
        <v>15.8</v>
      </c>
      <c r="H85" s="52">
        <f t="shared" si="1"/>
        <v>167.05024000000003</v>
      </c>
    </row>
    <row r="86" spans="1:8" ht="15.6" x14ac:dyDescent="0.3">
      <c r="A86" s="50">
        <v>39</v>
      </c>
      <c r="B86" s="50" t="s">
        <v>531</v>
      </c>
      <c r="C86" s="19" t="s">
        <v>658</v>
      </c>
      <c r="D86" s="50">
        <v>37.76</v>
      </c>
      <c r="E86" s="50" t="s">
        <v>617</v>
      </c>
      <c r="F86" s="19">
        <v>9.7899999999999991</v>
      </c>
      <c r="G86" s="50">
        <v>15.8</v>
      </c>
      <c r="H86" s="52">
        <f t="shared" si="1"/>
        <v>5840.7923199999996</v>
      </c>
    </row>
    <row r="87" spans="1:8" ht="15.6" x14ac:dyDescent="0.3">
      <c r="A87" s="50">
        <v>40</v>
      </c>
      <c r="B87" s="50" t="s">
        <v>533</v>
      </c>
      <c r="C87" s="19" t="s">
        <v>658</v>
      </c>
      <c r="D87" s="50">
        <v>37.76</v>
      </c>
      <c r="E87" s="50" t="s">
        <v>617</v>
      </c>
      <c r="F87" s="19">
        <v>6.7</v>
      </c>
      <c r="G87" s="50">
        <v>15.8</v>
      </c>
      <c r="H87" s="52">
        <f t="shared" si="1"/>
        <v>3997.2736</v>
      </c>
    </row>
    <row r="88" spans="1:8" ht="15.6" x14ac:dyDescent="0.3">
      <c r="A88" s="50">
        <v>41</v>
      </c>
      <c r="B88" s="50" t="s">
        <v>146</v>
      </c>
      <c r="C88" s="19" t="s">
        <v>658</v>
      </c>
      <c r="D88" s="50">
        <v>37.76</v>
      </c>
      <c r="E88" s="50" t="s">
        <v>617</v>
      </c>
      <c r="F88" s="19">
        <v>0.47</v>
      </c>
      <c r="G88" s="50">
        <v>15.8</v>
      </c>
      <c r="H88" s="52">
        <f t="shared" si="1"/>
        <v>280.40575999999999</v>
      </c>
    </row>
    <row r="89" spans="1:8" ht="15.6" x14ac:dyDescent="0.3">
      <c r="A89" s="50">
        <v>42</v>
      </c>
      <c r="B89" s="50" t="s">
        <v>630</v>
      </c>
      <c r="C89" s="19" t="s">
        <v>658</v>
      </c>
      <c r="D89" s="50">
        <v>37.76</v>
      </c>
      <c r="E89" s="50" t="s">
        <v>617</v>
      </c>
      <c r="F89" s="19">
        <v>0.02</v>
      </c>
      <c r="G89" s="50">
        <v>15.8</v>
      </c>
      <c r="H89" s="52">
        <f t="shared" si="1"/>
        <v>11.93216</v>
      </c>
    </row>
    <row r="90" spans="1:8" ht="15.6" x14ac:dyDescent="0.3">
      <c r="A90" s="50">
        <v>43</v>
      </c>
      <c r="B90" s="50" t="s">
        <v>631</v>
      </c>
      <c r="C90" s="19" t="s">
        <v>658</v>
      </c>
      <c r="D90" s="50">
        <v>37.76</v>
      </c>
      <c r="E90" s="50" t="s">
        <v>617</v>
      </c>
      <c r="F90" s="19">
        <v>0.01</v>
      </c>
      <c r="G90" s="50">
        <v>15.8</v>
      </c>
      <c r="H90" s="52">
        <f t="shared" si="1"/>
        <v>5.9660799999999998</v>
      </c>
    </row>
    <row r="91" spans="1:8" ht="15.6" x14ac:dyDescent="0.3">
      <c r="A91" s="50">
        <v>44</v>
      </c>
      <c r="B91" s="50" t="s">
        <v>632</v>
      </c>
      <c r="C91" s="19" t="s">
        <v>658</v>
      </c>
      <c r="D91" s="50">
        <v>37.76</v>
      </c>
      <c r="E91" s="50" t="s">
        <v>617</v>
      </c>
      <c r="F91" s="19">
        <v>0.06</v>
      </c>
      <c r="G91" s="50">
        <v>15.8</v>
      </c>
      <c r="H91" s="52">
        <f t="shared" si="1"/>
        <v>35.796479999999995</v>
      </c>
    </row>
    <row r="92" spans="1:8" ht="15.6" x14ac:dyDescent="0.3">
      <c r="A92" s="50">
        <v>45</v>
      </c>
      <c r="B92" s="50" t="s">
        <v>633</v>
      </c>
      <c r="C92" s="19" t="s">
        <v>658</v>
      </c>
      <c r="D92" s="50">
        <v>37.76</v>
      </c>
      <c r="E92" s="50" t="s">
        <v>617</v>
      </c>
      <c r="F92" s="19">
        <v>0.37</v>
      </c>
      <c r="G92" s="50">
        <v>15.8</v>
      </c>
      <c r="H92" s="52">
        <f t="shared" si="1"/>
        <v>220.74495999999999</v>
      </c>
    </row>
    <row r="93" spans="1:8" ht="15.6" x14ac:dyDescent="0.3">
      <c r="A93" s="50">
        <v>46</v>
      </c>
      <c r="B93" s="50" t="s">
        <v>634</v>
      </c>
      <c r="C93" s="19" t="s">
        <v>658</v>
      </c>
      <c r="D93" s="50">
        <v>37.76</v>
      </c>
      <c r="E93" s="50" t="s">
        <v>617</v>
      </c>
      <c r="F93" s="19">
        <v>0.55000000000000004</v>
      </c>
      <c r="G93" s="50">
        <v>15.8</v>
      </c>
      <c r="H93" s="52">
        <f t="shared" si="1"/>
        <v>328.13440000000003</v>
      </c>
    </row>
    <row r="94" spans="1:8" ht="15.6" x14ac:dyDescent="0.3">
      <c r="A94" s="50">
        <v>48</v>
      </c>
      <c r="B94" s="50" t="s">
        <v>636</v>
      </c>
      <c r="C94" s="19" t="s">
        <v>658</v>
      </c>
      <c r="D94" s="50">
        <v>37.76</v>
      </c>
      <c r="E94" s="50" t="s">
        <v>617</v>
      </c>
      <c r="F94" s="19">
        <v>26.62</v>
      </c>
      <c r="G94" s="50">
        <v>15.8</v>
      </c>
      <c r="H94" s="52">
        <f t="shared" si="1"/>
        <v>15881.704960000001</v>
      </c>
    </row>
    <row r="95" spans="1:8" ht="15.6" x14ac:dyDescent="0.3">
      <c r="A95" s="131"/>
      <c r="B95" s="131"/>
      <c r="C95" s="109" t="s">
        <v>360</v>
      </c>
      <c r="D95" s="91"/>
      <c r="E95" s="91"/>
      <c r="F95" s="68">
        <f>SUM(F54:F94)</f>
        <v>200.62000000000009</v>
      </c>
      <c r="G95" s="91"/>
      <c r="H95" s="110">
        <f>SUM(H54:H94)</f>
        <v>119463.86080000001</v>
      </c>
    </row>
    <row r="96" spans="1:8" ht="15.6" x14ac:dyDescent="0.3">
      <c r="A96" s="131"/>
      <c r="B96" s="131"/>
      <c r="C96" s="109" t="s">
        <v>361</v>
      </c>
      <c r="D96" s="91"/>
      <c r="E96" s="91"/>
      <c r="F96" s="32">
        <f>F52+F95</f>
        <v>3688.6699999999992</v>
      </c>
      <c r="G96" s="91"/>
      <c r="H96" s="111">
        <f>H52+H95</f>
        <v>1566556.5247359998</v>
      </c>
    </row>
  </sheetData>
  <mergeCells count="5">
    <mergeCell ref="A5:B5"/>
    <mergeCell ref="C5:H5"/>
    <mergeCell ref="A52:B52"/>
    <mergeCell ref="A95:B95"/>
    <mergeCell ref="A96:B9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1"/>
  <headerFooter>
    <oddHeader xml:space="preserve">&amp;LПриложение №4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4"/>
  <sheetViews>
    <sheetView topLeftCell="A9" zoomScale="70" zoomScaleNormal="70" workbookViewId="0">
      <selection activeCell="O28" sqref="O28"/>
    </sheetView>
  </sheetViews>
  <sheetFormatPr defaultRowHeight="14.4" x14ac:dyDescent="0.3"/>
  <cols>
    <col min="1" max="1" width="31.6640625" customWidth="1"/>
    <col min="2" max="2" width="28.33203125" bestFit="1" customWidth="1"/>
    <col min="3" max="3" width="7.77734375" customWidth="1"/>
    <col min="4" max="4" width="9.77734375" customWidth="1"/>
    <col min="5" max="5" width="11.6640625" customWidth="1"/>
    <col min="6" max="6" width="6.109375" bestFit="1" customWidth="1"/>
    <col min="7" max="7" width="7.21875" bestFit="1" customWidth="1"/>
    <col min="9" max="9" width="66.77734375" customWidth="1"/>
  </cols>
  <sheetData>
    <row r="1" spans="1:16" ht="16.2" thickBot="1" x14ac:dyDescent="0.35">
      <c r="A1" s="206"/>
      <c r="B1" s="207" t="s">
        <v>362</v>
      </c>
      <c r="C1" s="208" t="s">
        <v>363</v>
      </c>
      <c r="D1" s="208"/>
      <c r="E1" s="208"/>
      <c r="F1" s="208"/>
      <c r="G1" s="208"/>
      <c r="H1" s="54"/>
      <c r="I1" s="21"/>
    </row>
    <row r="2" spans="1:16" ht="16.2" thickBot="1" x14ac:dyDescent="0.35">
      <c r="A2" s="206"/>
      <c r="B2" s="207"/>
      <c r="C2" s="50">
        <v>2</v>
      </c>
      <c r="D2" s="50">
        <v>3</v>
      </c>
      <c r="E2" s="50">
        <v>4</v>
      </c>
      <c r="F2" s="50">
        <v>5</v>
      </c>
      <c r="G2" s="50">
        <v>6</v>
      </c>
      <c r="H2" s="54"/>
      <c r="I2" s="21"/>
    </row>
    <row r="3" spans="1:16" ht="16.2" thickBot="1" x14ac:dyDescent="0.35">
      <c r="A3" s="50" t="s">
        <v>364</v>
      </c>
      <c r="B3" s="56">
        <v>3488.05</v>
      </c>
      <c r="C3" s="50">
        <v>288.38</v>
      </c>
      <c r="D3" s="50">
        <v>1810.24</v>
      </c>
      <c r="E3" s="50">
        <v>1355.72</v>
      </c>
      <c r="F3" s="19">
        <v>33.700000000000003</v>
      </c>
      <c r="G3" s="57">
        <f>'Ресурсная ведомость трудозатрат'!N5</f>
        <v>0</v>
      </c>
      <c r="H3" s="54"/>
      <c r="I3" s="21"/>
    </row>
    <row r="4" spans="1:16" ht="16.2" thickBot="1" x14ac:dyDescent="0.35">
      <c r="A4" s="58" t="s">
        <v>365</v>
      </c>
      <c r="B4" s="50">
        <v>200.62</v>
      </c>
      <c r="C4" s="59">
        <f>'Ресурсная ведомость трудозатрат'!J6</f>
        <v>0</v>
      </c>
      <c r="D4" s="50">
        <f>'Ресурсная ведомость трудозатрат'!K6</f>
        <v>0</v>
      </c>
      <c r="E4" s="50">
        <v>0.79</v>
      </c>
      <c r="F4" s="50">
        <v>1.27</v>
      </c>
      <c r="G4" s="50">
        <v>198.6</v>
      </c>
      <c r="H4" s="54"/>
      <c r="I4" s="21"/>
    </row>
    <row r="5" spans="1:16" ht="16.2" thickBot="1" x14ac:dyDescent="0.35">
      <c r="A5" s="50" t="s">
        <v>345</v>
      </c>
      <c r="B5" s="60">
        <v>3688.67</v>
      </c>
      <c r="C5" s="50">
        <f>C3+C4</f>
        <v>288.38</v>
      </c>
      <c r="D5" s="50">
        <f t="shared" ref="D5:G5" si="0">D3+D4</f>
        <v>1810.24</v>
      </c>
      <c r="E5" s="50">
        <f t="shared" si="0"/>
        <v>1356.51</v>
      </c>
      <c r="F5" s="50">
        <f t="shared" si="0"/>
        <v>34.970000000000006</v>
      </c>
      <c r="G5" s="50">
        <f t="shared" si="0"/>
        <v>198.6</v>
      </c>
      <c r="H5" s="54"/>
      <c r="I5" s="21"/>
    </row>
    <row r="6" spans="1:16" ht="15" thickBot="1" x14ac:dyDescent="0.35">
      <c r="A6" s="55"/>
      <c r="B6" s="55"/>
      <c r="C6" s="55"/>
      <c r="D6" s="55"/>
      <c r="E6" s="55"/>
      <c r="F6" s="55"/>
      <c r="G6" s="55"/>
      <c r="H6" s="21"/>
      <c r="I6" s="21"/>
    </row>
    <row r="7" spans="1:16" ht="16.2" thickBot="1" x14ac:dyDescent="0.35">
      <c r="A7" s="20" t="s">
        <v>366</v>
      </c>
      <c r="B7" s="21"/>
      <c r="C7" s="21"/>
      <c r="D7" s="21"/>
      <c r="E7" s="21"/>
      <c r="F7" s="21"/>
      <c r="G7" s="21"/>
      <c r="H7" s="21"/>
      <c r="I7" s="21"/>
      <c r="O7" s="21" t="s">
        <v>435</v>
      </c>
      <c r="P7" s="21" t="s">
        <v>436</v>
      </c>
    </row>
    <row r="8" spans="1:16" ht="47.4" customHeight="1" thickBot="1" x14ac:dyDescent="0.35">
      <c r="A8" s="2" t="s">
        <v>367</v>
      </c>
      <c r="B8" s="2" t="s">
        <v>367</v>
      </c>
      <c r="C8" s="21"/>
      <c r="D8" s="21"/>
      <c r="E8" s="21"/>
      <c r="F8" s="21"/>
      <c r="G8" s="21"/>
      <c r="H8" s="21"/>
      <c r="I8" s="21"/>
      <c r="O8" s="21" t="s">
        <v>437</v>
      </c>
      <c r="P8" s="21" t="s">
        <v>438</v>
      </c>
    </row>
    <row r="9" spans="1:16" ht="31.8" customHeight="1" thickBot="1" x14ac:dyDescent="0.35">
      <c r="A9" s="23" t="s">
        <v>660</v>
      </c>
      <c r="B9" s="34">
        <f>B5/(90*8)</f>
        <v>5.1231527777777774</v>
      </c>
      <c r="C9" s="2" t="s">
        <v>368</v>
      </c>
      <c r="D9" s="21"/>
      <c r="E9" s="21"/>
      <c r="F9" s="21"/>
      <c r="G9" s="21"/>
      <c r="H9" s="21"/>
      <c r="I9" s="21"/>
      <c r="O9" s="21" t="s">
        <v>439</v>
      </c>
      <c r="P9" s="21" t="s">
        <v>440</v>
      </c>
    </row>
    <row r="10" spans="1:16" ht="16.2" thickBot="1" x14ac:dyDescent="0.35">
      <c r="A10" s="2" t="s">
        <v>369</v>
      </c>
      <c r="B10" s="24">
        <v>6</v>
      </c>
      <c r="C10" s="2" t="s">
        <v>368</v>
      </c>
      <c r="D10" s="21"/>
      <c r="E10" s="21"/>
      <c r="F10" s="21"/>
      <c r="G10" s="21"/>
      <c r="H10" s="21"/>
      <c r="I10" s="21"/>
      <c r="O10" s="21" t="s">
        <v>441</v>
      </c>
      <c r="P10" s="21" t="s">
        <v>442</v>
      </c>
    </row>
    <row r="11" spans="1:16" ht="15" thickBot="1" x14ac:dyDescent="0.35">
      <c r="A11" s="25" t="s">
        <v>370</v>
      </c>
      <c r="B11" s="21"/>
      <c r="C11" s="21"/>
      <c r="D11" s="21"/>
      <c r="E11" s="21"/>
      <c r="F11" s="21"/>
      <c r="G11" s="21"/>
      <c r="H11" s="21"/>
      <c r="I11" s="21"/>
      <c r="O11" s="21" t="s">
        <v>443</v>
      </c>
      <c r="P11" s="21" t="s">
        <v>444</v>
      </c>
    </row>
    <row r="12" spans="1:16" ht="15" thickBot="1" x14ac:dyDescent="0.35">
      <c r="A12" s="25" t="s">
        <v>371</v>
      </c>
      <c r="B12" s="21"/>
      <c r="C12" s="21"/>
      <c r="D12" s="21"/>
      <c r="E12" s="21"/>
      <c r="F12" s="21"/>
      <c r="G12" s="21"/>
      <c r="H12" s="21"/>
      <c r="I12" s="21"/>
    </row>
    <row r="13" spans="1:16" ht="31.8" thickBot="1" x14ac:dyDescent="0.35">
      <c r="A13" s="20" t="s">
        <v>372</v>
      </c>
      <c r="B13" s="21"/>
      <c r="C13" s="21"/>
      <c r="D13" s="21"/>
      <c r="E13" s="26" t="s">
        <v>373</v>
      </c>
      <c r="F13" s="21"/>
      <c r="G13" s="21"/>
      <c r="H13" s="21"/>
      <c r="I13" s="21"/>
    </row>
    <row r="14" spans="1:16" ht="16.2" thickBot="1" x14ac:dyDescent="0.35">
      <c r="A14" s="35" t="s">
        <v>661</v>
      </c>
      <c r="B14" s="21"/>
      <c r="C14" s="36">
        <f>C5*B10/B5</f>
        <v>0.46907964117147916</v>
      </c>
      <c r="D14" s="26" t="s">
        <v>368</v>
      </c>
      <c r="E14" s="26">
        <v>2</v>
      </c>
      <c r="F14" s="2" t="s">
        <v>368</v>
      </c>
      <c r="G14" s="21"/>
      <c r="H14" s="21"/>
      <c r="I14" s="21"/>
    </row>
    <row r="15" spans="1:16" ht="16.2" thickBot="1" x14ac:dyDescent="0.35">
      <c r="A15" s="20" t="s">
        <v>662</v>
      </c>
      <c r="B15" s="21"/>
      <c r="C15" s="36">
        <f>D5*B10/B5</f>
        <v>2.9445409863175618</v>
      </c>
      <c r="D15" s="26" t="s">
        <v>368</v>
      </c>
      <c r="E15" s="26">
        <v>2</v>
      </c>
      <c r="F15" s="2" t="s">
        <v>368</v>
      </c>
      <c r="G15" s="21"/>
      <c r="H15" s="21"/>
      <c r="I15" s="21"/>
    </row>
    <row r="16" spans="1:16" ht="16.2" thickBot="1" x14ac:dyDescent="0.35">
      <c r="A16" s="20" t="s">
        <v>663</v>
      </c>
      <c r="B16" s="21"/>
      <c r="C16" s="36">
        <f>E5*B10/B5</f>
        <v>2.2065026147635867</v>
      </c>
      <c r="D16" s="26" t="s">
        <v>368</v>
      </c>
      <c r="E16" s="26">
        <v>2</v>
      </c>
      <c r="F16" s="2" t="s">
        <v>368</v>
      </c>
      <c r="G16" s="21"/>
      <c r="H16" s="21"/>
      <c r="I16" s="21"/>
    </row>
    <row r="17" spans="1:9" ht="15" thickBot="1" x14ac:dyDescent="0.3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6.2" thickBot="1" x14ac:dyDescent="0.35">
      <c r="A18" s="20" t="s">
        <v>374</v>
      </c>
      <c r="B18" s="21"/>
      <c r="C18" s="21"/>
      <c r="D18" s="21"/>
      <c r="E18" s="21"/>
      <c r="F18" s="21"/>
      <c r="G18" s="21"/>
      <c r="H18" s="21"/>
      <c r="I18" s="21"/>
    </row>
    <row r="19" spans="1:9" ht="16.2" thickBot="1" x14ac:dyDescent="0.35">
      <c r="A19" s="20" t="s">
        <v>375</v>
      </c>
      <c r="B19" s="21"/>
      <c r="C19" s="21"/>
      <c r="D19" s="21"/>
      <c r="E19" s="21"/>
      <c r="F19" s="21"/>
      <c r="G19" s="21"/>
      <c r="H19" s="21"/>
      <c r="I19" s="21"/>
    </row>
    <row r="20" spans="1:9" ht="16.2" thickBot="1" x14ac:dyDescent="0.35">
      <c r="A20" s="40" t="s">
        <v>664</v>
      </c>
      <c r="B20" s="21"/>
      <c r="C20" s="37">
        <f>(2*2+2*3+2*4)/6</f>
        <v>3</v>
      </c>
      <c r="D20" s="21"/>
      <c r="E20" s="21"/>
      <c r="F20" s="21"/>
      <c r="G20" s="21"/>
      <c r="H20" s="21"/>
      <c r="I20" s="21"/>
    </row>
    <row r="21" spans="1:9" ht="16.2" thickBot="1" x14ac:dyDescent="0.35">
      <c r="A21" s="20" t="s">
        <v>376</v>
      </c>
      <c r="B21" s="21"/>
      <c r="C21" s="21"/>
      <c r="D21" s="21"/>
      <c r="E21" s="21"/>
      <c r="F21" s="21"/>
      <c r="G21" s="21"/>
      <c r="H21" s="21"/>
      <c r="I21" s="21"/>
    </row>
    <row r="22" spans="1:9" ht="16.2" thickBot="1" x14ac:dyDescent="0.35">
      <c r="A22" s="20" t="s">
        <v>377</v>
      </c>
      <c r="B22" s="21"/>
      <c r="C22" s="21"/>
      <c r="D22" s="21"/>
      <c r="E22" s="21"/>
      <c r="F22" s="21"/>
      <c r="G22" s="21"/>
      <c r="H22" s="21"/>
      <c r="I22" s="21"/>
    </row>
    <row r="23" spans="1:9" ht="15" thickBot="1" x14ac:dyDescent="0.35">
      <c r="A23" s="28" t="s">
        <v>378</v>
      </c>
      <c r="B23" s="21"/>
      <c r="C23" s="21"/>
      <c r="D23" s="21"/>
      <c r="E23" s="21"/>
      <c r="F23" s="21"/>
      <c r="G23" s="21"/>
      <c r="H23" s="21"/>
      <c r="I23" s="21"/>
    </row>
    <row r="24" spans="1:9" ht="15" thickBot="1" x14ac:dyDescent="0.35">
      <c r="A24" s="25" t="s">
        <v>379</v>
      </c>
      <c r="B24" s="21"/>
      <c r="C24" s="21"/>
      <c r="D24" s="21"/>
      <c r="E24" s="21"/>
      <c r="F24" s="21"/>
      <c r="G24" s="21"/>
      <c r="H24" s="21"/>
      <c r="I24" s="21"/>
    </row>
    <row r="25" spans="1:9" ht="15" thickBot="1" x14ac:dyDescent="0.35">
      <c r="A25" s="25" t="s">
        <v>380</v>
      </c>
      <c r="B25" s="21"/>
      <c r="C25" s="21"/>
      <c r="D25" s="21"/>
      <c r="E25" s="21"/>
      <c r="F25" s="21"/>
      <c r="G25" s="21"/>
      <c r="H25" s="21"/>
      <c r="I25" s="21"/>
    </row>
    <row r="26" spans="1:9" ht="15" thickBot="1" x14ac:dyDescent="0.35">
      <c r="A26" s="25" t="s">
        <v>381</v>
      </c>
      <c r="B26" s="21"/>
      <c r="C26" s="21"/>
      <c r="D26" s="21"/>
      <c r="E26" s="21"/>
      <c r="F26" s="21"/>
      <c r="G26" s="21"/>
      <c r="H26" s="21"/>
      <c r="I26" s="21"/>
    </row>
    <row r="27" spans="1:9" ht="16.2" thickBot="1" x14ac:dyDescent="0.35">
      <c r="A27" s="39" t="s">
        <v>665</v>
      </c>
      <c r="B27" s="38">
        <f>'Ресурсная ведомость трудозатрат'!H52/'Расчёт состава бригад'!B5</f>
        <v>392.30743436956948</v>
      </c>
      <c r="C27" s="21" t="s">
        <v>230</v>
      </c>
      <c r="D27" s="21"/>
      <c r="E27" s="21"/>
      <c r="F27" s="21"/>
      <c r="G27" s="21"/>
      <c r="H27" s="21"/>
      <c r="I27" s="21"/>
    </row>
    <row r="28" spans="1:9" ht="16.2" thickBot="1" x14ac:dyDescent="0.35">
      <c r="A28" s="20" t="s">
        <v>382</v>
      </c>
      <c r="B28" s="21"/>
      <c r="C28" s="21"/>
      <c r="D28" s="21"/>
      <c r="E28" s="21"/>
      <c r="F28" s="21"/>
      <c r="G28" s="21"/>
      <c r="H28" s="21"/>
      <c r="I28" s="21"/>
    </row>
    <row r="29" spans="1:9" ht="16.2" thickBot="1" x14ac:dyDescent="0.35">
      <c r="A29" s="27" t="s">
        <v>666</v>
      </c>
      <c r="B29" s="21"/>
      <c r="C29" s="21"/>
      <c r="D29" s="21"/>
      <c r="E29" s="21"/>
      <c r="F29" s="21"/>
      <c r="G29" s="21"/>
      <c r="H29" s="21"/>
      <c r="I29" s="21"/>
    </row>
    <row r="30" spans="1:9" ht="16.2" thickBot="1" x14ac:dyDescent="0.35">
      <c r="A30" s="41" t="s">
        <v>667</v>
      </c>
      <c r="B30" s="42">
        <f>B27/37.76</f>
        <v>10.389497732244955</v>
      </c>
      <c r="C30" s="2" t="s">
        <v>383</v>
      </c>
      <c r="D30" s="21"/>
      <c r="E30" s="21"/>
      <c r="F30" s="21"/>
      <c r="G30" s="21"/>
      <c r="H30" s="21"/>
      <c r="I30" s="21"/>
    </row>
    <row r="31" spans="1:9" ht="16.2" thickBot="1" x14ac:dyDescent="0.35">
      <c r="A31" s="20" t="s">
        <v>668</v>
      </c>
      <c r="B31" s="21"/>
      <c r="C31" s="21"/>
      <c r="D31" s="21"/>
      <c r="E31" s="21"/>
      <c r="F31" s="21"/>
      <c r="G31" s="21"/>
      <c r="H31" s="21"/>
      <c r="I31" s="21"/>
    </row>
    <row r="32" spans="1:9" ht="16.2" thickBot="1" x14ac:dyDescent="0.35">
      <c r="A32" s="20" t="s">
        <v>384</v>
      </c>
      <c r="B32" s="21"/>
      <c r="C32" s="21"/>
      <c r="D32" s="21"/>
      <c r="E32" s="21"/>
      <c r="F32" s="21"/>
      <c r="G32" s="21"/>
      <c r="H32" s="21"/>
      <c r="I32" s="21"/>
    </row>
    <row r="33" spans="7:9" ht="15" thickBot="1" x14ac:dyDescent="0.35">
      <c r="G33" s="21"/>
      <c r="H33" s="21"/>
      <c r="I33" s="21"/>
    </row>
    <row r="34" spans="7:9" ht="15" thickBot="1" x14ac:dyDescent="0.35">
      <c r="G34" s="21"/>
      <c r="H34" s="21"/>
      <c r="I34" s="21"/>
    </row>
  </sheetData>
  <mergeCells count="3">
    <mergeCell ref="A1:A2"/>
    <mergeCell ref="B1:B2"/>
    <mergeCell ref="C1:G1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D6" sqref="D6"/>
    </sheetView>
  </sheetViews>
  <sheetFormatPr defaultRowHeight="14.4" x14ac:dyDescent="0.3"/>
  <cols>
    <col min="1" max="1" width="3.21875" bestFit="1" customWidth="1"/>
    <col min="2" max="2" width="29.77734375" customWidth="1"/>
    <col min="4" max="4" width="17" customWidth="1"/>
    <col min="5" max="5" width="19.6640625" customWidth="1"/>
  </cols>
  <sheetData>
    <row r="1" spans="1:5" ht="16.2" thickBot="1" x14ac:dyDescent="0.35">
      <c r="A1" s="209" t="s">
        <v>410</v>
      </c>
      <c r="B1" s="210"/>
      <c r="C1" s="210"/>
      <c r="D1" s="210"/>
      <c r="E1" s="211"/>
    </row>
    <row r="2" spans="1:5" x14ac:dyDescent="0.3">
      <c r="A2" s="46"/>
      <c r="B2" s="46"/>
      <c r="C2" s="46"/>
      <c r="D2" s="46"/>
      <c r="E2" s="46"/>
    </row>
    <row r="3" spans="1:5" ht="31.2" x14ac:dyDescent="0.3">
      <c r="A3" s="47" t="s">
        <v>386</v>
      </c>
      <c r="B3" s="47" t="s">
        <v>196</v>
      </c>
      <c r="C3" s="47" t="s">
        <v>197</v>
      </c>
      <c r="D3" s="47" t="s">
        <v>198</v>
      </c>
      <c r="E3" s="47" t="s">
        <v>388</v>
      </c>
    </row>
    <row r="4" spans="1:5" ht="31.2" x14ac:dyDescent="0.3">
      <c r="A4" s="47">
        <v>1</v>
      </c>
      <c r="B4" s="47" t="s">
        <v>411</v>
      </c>
      <c r="C4" s="47" t="s">
        <v>412</v>
      </c>
      <c r="D4" s="70">
        <f>'Ресурсная ведомость трудозатрат'!H52</f>
        <v>1447092.6639359999</v>
      </c>
      <c r="E4" s="47" t="s">
        <v>413</v>
      </c>
    </row>
    <row r="5" spans="1:5" ht="31.2" x14ac:dyDescent="0.3">
      <c r="A5" s="47">
        <v>2</v>
      </c>
      <c r="B5" s="47" t="s">
        <v>414</v>
      </c>
      <c r="C5" s="47" t="s">
        <v>415</v>
      </c>
      <c r="D5" s="70">
        <f>'Ресурсная ведомость трудозатрат'!F52</f>
        <v>3488.0499999999993</v>
      </c>
      <c r="E5" s="47" t="s">
        <v>413</v>
      </c>
    </row>
    <row r="6" spans="1:5" ht="31.2" x14ac:dyDescent="0.3">
      <c r="A6" s="47">
        <v>3</v>
      </c>
      <c r="B6" s="47" t="s">
        <v>416</v>
      </c>
      <c r="C6" s="47" t="s">
        <v>412</v>
      </c>
      <c r="D6" s="70">
        <f>D4/D5</f>
        <v>414.87153680021794</v>
      </c>
      <c r="E6" s="47" t="s">
        <v>417</v>
      </c>
    </row>
    <row r="7" spans="1:5" ht="15.6" x14ac:dyDescent="0.3">
      <c r="A7" s="47">
        <v>4</v>
      </c>
      <c r="B7" s="47" t="s">
        <v>418</v>
      </c>
      <c r="C7" s="47" t="s">
        <v>412</v>
      </c>
      <c r="D7" s="70">
        <f>D6*8</f>
        <v>3318.9722944017435</v>
      </c>
      <c r="E7" s="47" t="s">
        <v>419</v>
      </c>
    </row>
    <row r="8" spans="1:5" ht="31.2" x14ac:dyDescent="0.3">
      <c r="A8" s="47">
        <v>5</v>
      </c>
      <c r="B8" s="47" t="s">
        <v>420</v>
      </c>
      <c r="C8" s="47" t="s">
        <v>412</v>
      </c>
      <c r="D8" s="70">
        <f>D7*22</f>
        <v>73017.390476838351</v>
      </c>
      <c r="E8" s="47" t="s">
        <v>421</v>
      </c>
    </row>
    <row r="9" spans="1:5" ht="31.2" x14ac:dyDescent="0.3">
      <c r="A9" s="47">
        <v>6</v>
      </c>
      <c r="B9" s="47" t="s">
        <v>422</v>
      </c>
      <c r="C9" s="47" t="s">
        <v>412</v>
      </c>
      <c r="D9" s="70">
        <f>'Ресурсная ведомость трудозатрат'!H95</f>
        <v>119463.86080000001</v>
      </c>
      <c r="E9" s="47" t="s">
        <v>413</v>
      </c>
    </row>
    <row r="10" spans="1:5" ht="31.2" x14ac:dyDescent="0.3">
      <c r="A10" s="47">
        <v>7</v>
      </c>
      <c r="B10" s="47" t="s">
        <v>423</v>
      </c>
      <c r="C10" s="47" t="s">
        <v>415</v>
      </c>
      <c r="D10" s="70">
        <f>'Ресурсная ведомость трудозатрат'!F95</f>
        <v>200.62000000000009</v>
      </c>
      <c r="E10" s="47" t="s">
        <v>413</v>
      </c>
    </row>
    <row r="11" spans="1:5" ht="31.2" x14ac:dyDescent="0.3">
      <c r="A11" s="47">
        <v>8</v>
      </c>
      <c r="B11" s="47" t="s">
        <v>424</v>
      </c>
      <c r="C11" s="47" t="s">
        <v>412</v>
      </c>
      <c r="D11" s="70">
        <f>D9/D10</f>
        <v>595.47333665636506</v>
      </c>
      <c r="E11" s="47" t="s">
        <v>425</v>
      </c>
    </row>
    <row r="12" spans="1:5" ht="31.2" x14ac:dyDescent="0.3">
      <c r="A12" s="47">
        <v>9</v>
      </c>
      <c r="B12" s="47" t="s">
        <v>426</v>
      </c>
      <c r="C12" s="47" t="s">
        <v>412</v>
      </c>
      <c r="D12" s="70">
        <f>D11*8</f>
        <v>4763.7866932509205</v>
      </c>
      <c r="E12" s="47" t="s">
        <v>427</v>
      </c>
    </row>
    <row r="13" spans="1:5" ht="31.2" x14ac:dyDescent="0.3">
      <c r="A13" s="47">
        <v>10</v>
      </c>
      <c r="B13" s="47" t="s">
        <v>428</v>
      </c>
      <c r="C13" s="47" t="s">
        <v>412</v>
      </c>
      <c r="D13" s="70">
        <f>D12*22</f>
        <v>104803.30725152025</v>
      </c>
      <c r="E13" s="47" t="s">
        <v>429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C14" sqref="C14"/>
    </sheetView>
  </sheetViews>
  <sheetFormatPr defaultRowHeight="14.4" x14ac:dyDescent="0.3"/>
  <cols>
    <col min="1" max="1" width="3.21875" bestFit="1" customWidth="1"/>
    <col min="2" max="2" width="30.21875" customWidth="1"/>
    <col min="3" max="3" width="17.44140625" customWidth="1"/>
    <col min="4" max="4" width="18.21875" customWidth="1"/>
  </cols>
  <sheetData>
    <row r="1" spans="1:4" ht="16.2" thickBot="1" x14ac:dyDescent="0.35">
      <c r="A1" s="209" t="s">
        <v>385</v>
      </c>
      <c r="B1" s="210"/>
      <c r="C1" s="210"/>
      <c r="D1" s="211"/>
    </row>
    <row r="2" spans="1:4" x14ac:dyDescent="0.3">
      <c r="A2" s="46"/>
      <c r="B2" s="46"/>
      <c r="C2" s="46"/>
      <c r="D2" s="46"/>
    </row>
    <row r="3" spans="1:4" ht="46.8" x14ac:dyDescent="0.3">
      <c r="A3" s="47" t="s">
        <v>386</v>
      </c>
      <c r="B3" s="47" t="s">
        <v>196</v>
      </c>
      <c r="C3" s="47" t="s">
        <v>387</v>
      </c>
      <c r="D3" s="47" t="s">
        <v>388</v>
      </c>
    </row>
    <row r="4" spans="1:4" ht="15.6" x14ac:dyDescent="0.3">
      <c r="A4" s="47">
        <v>1</v>
      </c>
      <c r="B4" s="47" t="s">
        <v>389</v>
      </c>
      <c r="C4" s="48">
        <f>'Объектная смета'!H44*1000</f>
        <v>5865381.8940222012</v>
      </c>
      <c r="D4" s="47" t="s">
        <v>669</v>
      </c>
    </row>
    <row r="5" spans="1:4" ht="15.6" x14ac:dyDescent="0.3">
      <c r="A5" s="47">
        <v>2</v>
      </c>
      <c r="B5" s="47" t="s">
        <v>390</v>
      </c>
      <c r="C5" s="48">
        <f>'Объектная смета'!H43*1000</f>
        <v>461943.53937951982</v>
      </c>
      <c r="D5" s="47" t="s">
        <v>669</v>
      </c>
    </row>
    <row r="6" spans="1:4" ht="46.8" x14ac:dyDescent="0.3">
      <c r="A6" s="47">
        <v>3</v>
      </c>
      <c r="B6" s="47" t="s">
        <v>391</v>
      </c>
      <c r="C6" s="48">
        <f>'Ресурсная ведомость трудозатрат'!H96</f>
        <v>1566556.5247359998</v>
      </c>
      <c r="D6" s="47" t="s">
        <v>392</v>
      </c>
    </row>
    <row r="7" spans="1:4" ht="15.6" x14ac:dyDescent="0.3">
      <c r="A7" s="47">
        <v>4</v>
      </c>
      <c r="B7" s="47" t="s">
        <v>393</v>
      </c>
      <c r="C7" s="48">
        <f>C4+C5+C6</f>
        <v>7893881.9581377208</v>
      </c>
      <c r="D7" s="49"/>
    </row>
    <row r="8" spans="1:4" ht="15.6" x14ac:dyDescent="0.3">
      <c r="A8" s="47">
        <v>5</v>
      </c>
      <c r="B8" s="47" t="s">
        <v>394</v>
      </c>
      <c r="C8" s="48">
        <f>'Объектная смета'!H45*1000</f>
        <v>1362556.4108432354</v>
      </c>
      <c r="D8" s="47" t="s">
        <v>669</v>
      </c>
    </row>
    <row r="9" spans="1:4" ht="31.2" x14ac:dyDescent="0.3">
      <c r="A9" s="47">
        <v>6</v>
      </c>
      <c r="B9" s="47" t="s">
        <v>395</v>
      </c>
      <c r="C9" s="48">
        <f>('Объектная смета'!H42+'Объектная смета'!H43+'Объектная смета'!H44+'Объектная смета'!H45)*1000</f>
        <v>7691167.8376521775</v>
      </c>
      <c r="D9" s="47" t="s">
        <v>239</v>
      </c>
    </row>
    <row r="10" spans="1:4" ht="31.2" x14ac:dyDescent="0.3">
      <c r="A10" s="47">
        <v>7</v>
      </c>
      <c r="B10" s="47" t="s">
        <v>396</v>
      </c>
      <c r="C10" s="48">
        <f>C9*1.047</f>
        <v>8052652.7260218291</v>
      </c>
      <c r="D10" s="47" t="s">
        <v>397</v>
      </c>
    </row>
    <row r="11" spans="1:4" ht="15.6" x14ac:dyDescent="0.3">
      <c r="A11" s="47">
        <v>8</v>
      </c>
      <c r="B11" s="47" t="s">
        <v>398</v>
      </c>
      <c r="C11" s="48">
        <f>C10-C9</f>
        <v>361484.88836965151</v>
      </c>
      <c r="D11" s="47" t="s">
        <v>399</v>
      </c>
    </row>
    <row r="12" spans="1:4" ht="15.6" x14ac:dyDescent="0.3">
      <c r="A12" s="47">
        <v>9</v>
      </c>
      <c r="B12" s="47" t="s">
        <v>400</v>
      </c>
      <c r="C12" s="48">
        <f>(C11*100)/C9</f>
        <v>4.6999999999999895</v>
      </c>
      <c r="D12" s="47" t="s">
        <v>401</v>
      </c>
    </row>
    <row r="13" spans="1:4" ht="15.6" x14ac:dyDescent="0.3">
      <c r="A13" s="47">
        <v>10</v>
      </c>
      <c r="B13" s="47" t="s">
        <v>402</v>
      </c>
      <c r="C13" s="48">
        <f>'Объектная смета'!H46*1000</f>
        <v>810732.43614681973</v>
      </c>
      <c r="D13" s="47" t="s">
        <v>669</v>
      </c>
    </row>
    <row r="14" spans="1:4" ht="15.6" x14ac:dyDescent="0.3">
      <c r="A14" s="47">
        <v>11</v>
      </c>
      <c r="B14" s="47" t="s">
        <v>403</v>
      </c>
      <c r="C14" s="48">
        <f>C13*100/C9</f>
        <v>10.541083659335481</v>
      </c>
      <c r="D14" s="47" t="s">
        <v>404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topLeftCell="A13" zoomScale="85" zoomScaleNormal="85" workbookViewId="0">
      <selection activeCell="D13" sqref="D13"/>
    </sheetView>
  </sheetViews>
  <sheetFormatPr defaultRowHeight="14.4" x14ac:dyDescent="0.3"/>
  <cols>
    <col min="1" max="1" width="6.33203125" bestFit="1" customWidth="1"/>
    <col min="2" max="2" width="33.6640625" customWidth="1"/>
    <col min="4" max="4" width="22" customWidth="1"/>
    <col min="5" max="5" width="22.5546875" customWidth="1"/>
  </cols>
  <sheetData>
    <row r="1" spans="1:5" ht="15.6" x14ac:dyDescent="0.3">
      <c r="A1" s="212" t="s">
        <v>195</v>
      </c>
      <c r="B1" s="213"/>
      <c r="C1" s="213"/>
      <c r="D1" s="213"/>
      <c r="E1" s="214"/>
    </row>
    <row r="2" spans="1:5" ht="15.6" x14ac:dyDescent="0.3">
      <c r="A2" s="50"/>
      <c r="B2" s="50"/>
      <c r="C2" s="50"/>
      <c r="D2" s="50"/>
      <c r="E2" s="50"/>
    </row>
    <row r="3" spans="1:5" ht="27" customHeight="1" x14ac:dyDescent="0.3">
      <c r="A3" s="30" t="s">
        <v>171</v>
      </c>
      <c r="B3" s="30" t="s">
        <v>196</v>
      </c>
      <c r="C3" s="30" t="s">
        <v>197</v>
      </c>
      <c r="D3" s="30" t="s">
        <v>198</v>
      </c>
      <c r="E3" s="30" t="s">
        <v>199</v>
      </c>
    </row>
    <row r="4" spans="1:5" ht="15.6" x14ac:dyDescent="0.3">
      <c r="A4" s="30">
        <v>1</v>
      </c>
      <c r="B4" s="30">
        <v>2</v>
      </c>
      <c r="C4" s="30">
        <v>3</v>
      </c>
      <c r="D4" s="30">
        <v>4</v>
      </c>
      <c r="E4" s="30">
        <v>5</v>
      </c>
    </row>
    <row r="5" spans="1:5" ht="15.6" x14ac:dyDescent="0.3">
      <c r="A5" s="208" t="s">
        <v>200</v>
      </c>
      <c r="B5" s="208"/>
      <c r="C5" s="208"/>
      <c r="D5" s="208"/>
      <c r="E5" s="208"/>
    </row>
    <row r="6" spans="1:5" ht="15.6" x14ac:dyDescent="0.3">
      <c r="A6" s="51" t="s">
        <v>201</v>
      </c>
      <c r="B6" s="50" t="s">
        <v>202</v>
      </c>
      <c r="C6" s="50" t="s">
        <v>203</v>
      </c>
      <c r="D6" s="50">
        <v>2</v>
      </c>
      <c r="E6" s="50" t="s">
        <v>204</v>
      </c>
    </row>
    <row r="7" spans="1:5" ht="15.6" x14ac:dyDescent="0.3">
      <c r="A7" s="51" t="s">
        <v>205</v>
      </c>
      <c r="B7" s="50" t="s">
        <v>206</v>
      </c>
      <c r="C7" s="50" t="s">
        <v>207</v>
      </c>
      <c r="D7" s="50">
        <v>1260.24</v>
      </c>
      <c r="E7" s="50" t="s">
        <v>204</v>
      </c>
    </row>
    <row r="8" spans="1:5" ht="15.6" x14ac:dyDescent="0.3">
      <c r="A8" s="51" t="s">
        <v>208</v>
      </c>
      <c r="B8" s="50" t="s">
        <v>209</v>
      </c>
      <c r="C8" s="50" t="s">
        <v>210</v>
      </c>
      <c r="D8" s="50">
        <v>154</v>
      </c>
      <c r="E8" s="50" t="s">
        <v>204</v>
      </c>
    </row>
    <row r="9" spans="1:5" ht="15.6" x14ac:dyDescent="0.3">
      <c r="A9" s="51" t="s">
        <v>211</v>
      </c>
      <c r="B9" s="50" t="s">
        <v>212</v>
      </c>
      <c r="C9" s="50" t="s">
        <v>210</v>
      </c>
      <c r="D9" s="50">
        <v>98.4</v>
      </c>
      <c r="E9" s="50" t="s">
        <v>204</v>
      </c>
    </row>
    <row r="10" spans="1:5" ht="15.6" x14ac:dyDescent="0.3">
      <c r="A10" s="208" t="s">
        <v>213</v>
      </c>
      <c r="B10" s="208"/>
      <c r="C10" s="208"/>
      <c r="D10" s="208"/>
      <c r="E10" s="208"/>
    </row>
    <row r="11" spans="1:5" ht="31.2" x14ac:dyDescent="0.3">
      <c r="A11" s="51" t="s">
        <v>214</v>
      </c>
      <c r="B11" s="50" t="s">
        <v>215</v>
      </c>
      <c r="C11" s="50" t="s">
        <v>216</v>
      </c>
      <c r="D11" s="52">
        <f>'Сводный сметный расчет'!D8</f>
        <v>38468.445949621433</v>
      </c>
      <c r="E11" s="50" t="s">
        <v>217</v>
      </c>
    </row>
    <row r="12" spans="1:5" ht="31.2" x14ac:dyDescent="0.3">
      <c r="A12" s="51" t="s">
        <v>218</v>
      </c>
      <c r="B12" s="50" t="s">
        <v>219</v>
      </c>
      <c r="C12" s="50" t="s">
        <v>220</v>
      </c>
      <c r="D12" s="52">
        <f>'Локальная смета '!F12</f>
        <v>12696.963433451123</v>
      </c>
      <c r="E12" s="50" t="s">
        <v>221</v>
      </c>
    </row>
    <row r="13" spans="1:5" ht="31.2" x14ac:dyDescent="0.3">
      <c r="A13" s="51" t="s">
        <v>222</v>
      </c>
      <c r="B13" s="50" t="s">
        <v>223</v>
      </c>
      <c r="C13" s="50" t="s">
        <v>216</v>
      </c>
      <c r="D13" s="52">
        <f>D12/D7</f>
        <v>10.075036051427603</v>
      </c>
      <c r="E13" s="50" t="s">
        <v>224</v>
      </c>
    </row>
    <row r="14" spans="1:5" ht="31.2" x14ac:dyDescent="0.3">
      <c r="A14" s="51" t="s">
        <v>225</v>
      </c>
      <c r="B14" s="50" t="s">
        <v>226</v>
      </c>
      <c r="C14" s="50" t="s">
        <v>216</v>
      </c>
      <c r="D14" s="52">
        <f>D12/D9</f>
        <v>129.03418123425936</v>
      </c>
      <c r="E14" s="50" t="s">
        <v>227</v>
      </c>
    </row>
    <row r="15" spans="1:5" ht="15.6" x14ac:dyDescent="0.3">
      <c r="A15" s="51" t="s">
        <v>228</v>
      </c>
      <c r="B15" s="50" t="s">
        <v>229</v>
      </c>
      <c r="C15" s="50" t="s">
        <v>230</v>
      </c>
      <c r="D15" s="52">
        <f>'Объектная смета'!H46*1000</f>
        <v>810732.43614681973</v>
      </c>
      <c r="E15" s="50"/>
    </row>
    <row r="16" spans="1:5" ht="15.6" x14ac:dyDescent="0.3">
      <c r="A16" s="51" t="s">
        <v>231</v>
      </c>
      <c r="B16" s="50" t="s">
        <v>232</v>
      </c>
      <c r="C16" s="50" t="s">
        <v>42</v>
      </c>
      <c r="D16" s="52">
        <f>D15*100/D18</f>
        <v>10.541083659335481</v>
      </c>
      <c r="E16" s="50" t="s">
        <v>233</v>
      </c>
    </row>
    <row r="17" spans="1:5" ht="31.2" x14ac:dyDescent="0.3">
      <c r="A17" s="51" t="s">
        <v>234</v>
      </c>
      <c r="B17" s="50" t="s">
        <v>235</v>
      </c>
      <c r="C17" s="50" t="s">
        <v>230</v>
      </c>
      <c r="D17" s="52">
        <f>D12*1.047*1000</f>
        <v>13293720.714823324</v>
      </c>
      <c r="E17" s="50" t="s">
        <v>236</v>
      </c>
    </row>
    <row r="18" spans="1:5" ht="15.6" x14ac:dyDescent="0.3">
      <c r="A18" s="51" t="s">
        <v>237</v>
      </c>
      <c r="B18" s="50" t="s">
        <v>238</v>
      </c>
      <c r="C18" s="50" t="s">
        <v>230</v>
      </c>
      <c r="D18" s="52">
        <f>('Объектная смета'!H42+'Объектная смета'!H43+'Объектная смета'!H44+'Объектная смета'!H45)*1000</f>
        <v>7691167.8376521775</v>
      </c>
      <c r="E18" s="50" t="s">
        <v>239</v>
      </c>
    </row>
    <row r="19" spans="1:5" ht="15.6" x14ac:dyDescent="0.3">
      <c r="A19" s="208" t="s">
        <v>240</v>
      </c>
      <c r="B19" s="208"/>
      <c r="C19" s="208"/>
      <c r="D19" s="208"/>
      <c r="E19" s="208"/>
    </row>
    <row r="20" spans="1:5" ht="15.6" x14ac:dyDescent="0.3">
      <c r="A20" s="51" t="s">
        <v>241</v>
      </c>
      <c r="B20" s="50" t="s">
        <v>242</v>
      </c>
      <c r="C20" s="50" t="s">
        <v>243</v>
      </c>
      <c r="D20" s="53">
        <f>D21*112.5/100</f>
        <v>4149.764313749999</v>
      </c>
      <c r="E20" s="50" t="s">
        <v>244</v>
      </c>
    </row>
    <row r="21" spans="1:5" ht="31.2" x14ac:dyDescent="0.3">
      <c r="A21" s="51" t="s">
        <v>245</v>
      </c>
      <c r="B21" s="50" t="s">
        <v>246</v>
      </c>
      <c r="C21" s="50" t="s">
        <v>243</v>
      </c>
      <c r="D21" s="53">
        <f>'Локальная смета '!O12+'Локальная смета '!O13</f>
        <v>3688.6793899999993</v>
      </c>
      <c r="E21" s="50" t="s">
        <v>221</v>
      </c>
    </row>
    <row r="22" spans="1:5" ht="31.2" x14ac:dyDescent="0.3">
      <c r="A22" s="51" t="s">
        <v>247</v>
      </c>
      <c r="B22" s="50" t="s">
        <v>248</v>
      </c>
      <c r="C22" s="50" t="s">
        <v>243</v>
      </c>
      <c r="D22" s="53">
        <f>D20/D7</f>
        <v>3.2928365341125492</v>
      </c>
      <c r="E22" s="50" t="s">
        <v>249</v>
      </c>
    </row>
    <row r="23" spans="1:5" ht="31.2" x14ac:dyDescent="0.3">
      <c r="A23" s="51" t="s">
        <v>250</v>
      </c>
      <c r="B23" s="50" t="s">
        <v>251</v>
      </c>
      <c r="C23" s="50" t="s">
        <v>252</v>
      </c>
      <c r="D23" s="53">
        <f>(D12/D21)*1000</f>
        <v>3442.1434044586686</v>
      </c>
      <c r="E23" s="50" t="s">
        <v>253</v>
      </c>
    </row>
    <row r="24" spans="1:5" ht="15.6" x14ac:dyDescent="0.3">
      <c r="A24" s="208" t="s">
        <v>254</v>
      </c>
      <c r="B24" s="208"/>
      <c r="C24" s="208"/>
      <c r="D24" s="208"/>
      <c r="E24" s="208"/>
    </row>
    <row r="25" spans="1:5" ht="46.8" x14ac:dyDescent="0.3">
      <c r="A25" s="51" t="s">
        <v>255</v>
      </c>
      <c r="B25" s="50" t="s">
        <v>256</v>
      </c>
      <c r="C25" s="50" t="s">
        <v>257</v>
      </c>
      <c r="D25" s="50">
        <v>165</v>
      </c>
      <c r="E25" s="50" t="s">
        <v>258</v>
      </c>
    </row>
    <row r="26" spans="1:5" ht="62.4" x14ac:dyDescent="0.3">
      <c r="A26" s="51" t="s">
        <v>259</v>
      </c>
      <c r="B26" s="50" t="s">
        <v>260</v>
      </c>
      <c r="C26" s="50" t="s">
        <v>257</v>
      </c>
      <c r="D26" s="50">
        <v>90</v>
      </c>
      <c r="E26" s="50" t="s">
        <v>261</v>
      </c>
    </row>
  </sheetData>
  <mergeCells count="5">
    <mergeCell ref="A1:E1"/>
    <mergeCell ref="A5:E5"/>
    <mergeCell ref="A10:E10"/>
    <mergeCell ref="A19:E19"/>
    <mergeCell ref="A24:E2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Ведомость объёмов работ</vt:lpstr>
      <vt:lpstr>Локальная смета </vt:lpstr>
      <vt:lpstr>Объектная смета</vt:lpstr>
      <vt:lpstr>Сводный сметный расчет</vt:lpstr>
      <vt:lpstr>Ресурсная ведомость трудозатрат</vt:lpstr>
      <vt:lpstr>Расчёт состава бригад</vt:lpstr>
      <vt:lpstr>Фонд оплаты труда</vt:lpstr>
      <vt:lpstr>Прибыль и затраты</vt:lpstr>
      <vt:lpstr>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2023-12-27T15:54:52Z</dcterms:modified>
</cp:coreProperties>
</file>